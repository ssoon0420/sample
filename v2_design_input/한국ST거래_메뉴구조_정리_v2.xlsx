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soon\Downloads\menu\"/>
    </mc:Choice>
  </mc:AlternateContent>
  <xr:revisionPtr revIDLastSave="0" documentId="13_ncr:1_{C0C3CBC7-7D42-4C45-A3ED-901DB0197CBB}" xr6:coauthVersionLast="47" xr6:coauthVersionMax="47" xr10:uidLastSave="{00000000-0000-0000-0000-000000000000}"/>
  <bookViews>
    <workbookView xWindow="40680" yWindow="7365" windowWidth="36150" windowHeight="18855" tabRatio="500" activeTab="4" xr2:uid="{00000000-000D-0000-FFFF-FFFF00000000}"/>
  </bookViews>
  <sheets>
    <sheet name="변경요약" sheetId="1" r:id="rId1"/>
    <sheet name="메뉴구조" sheetId="2" r:id="rId2"/>
    <sheet name="기능정의 상세" sheetId="3" r:id="rId3"/>
    <sheet name="공통 규칙" sheetId="4" r:id="rId4"/>
    <sheet name="확인 필요 목록" sheetId="5" r:id="rId5"/>
    <sheet name="디자인 프롬프트" sheetId="6" r:id="rId6"/>
  </sheets>
  <definedNames>
    <definedName name="_xlnm._FilterDatabase" localSheetId="2" hidden="1">'기능정의 상세'!$A$3:$M$714</definedName>
    <definedName name="_xlnm._FilterDatabase" localSheetId="1" hidden="1">메뉴구조!$A$4:$O$156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14" i="3" l="1"/>
  <c r="D714" i="3"/>
  <c r="C714" i="3"/>
  <c r="B714" i="3"/>
  <c r="E713" i="3"/>
  <c r="D713" i="3"/>
  <c r="C713" i="3"/>
  <c r="B713" i="3"/>
  <c r="E712" i="3"/>
  <c r="D712" i="3"/>
  <c r="C712" i="3"/>
  <c r="B712" i="3"/>
  <c r="E711" i="3"/>
  <c r="D711" i="3"/>
  <c r="C711" i="3"/>
  <c r="B711" i="3"/>
  <c r="E710" i="3"/>
  <c r="D710" i="3"/>
  <c r="C710" i="3"/>
  <c r="B710" i="3"/>
  <c r="E709" i="3"/>
  <c r="D709" i="3"/>
  <c r="C709" i="3"/>
  <c r="B709" i="3"/>
  <c r="E708" i="3"/>
  <c r="D708" i="3"/>
  <c r="C708" i="3"/>
  <c r="B708" i="3"/>
  <c r="E707" i="3"/>
  <c r="D707" i="3"/>
  <c r="C707" i="3"/>
  <c r="B707" i="3"/>
  <c r="E706" i="3"/>
  <c r="D706" i="3"/>
  <c r="C706" i="3"/>
  <c r="B706" i="3"/>
  <c r="E705" i="3"/>
  <c r="D705" i="3"/>
  <c r="C705" i="3"/>
  <c r="B705" i="3"/>
  <c r="E704" i="3"/>
  <c r="D704" i="3"/>
  <c r="C704" i="3"/>
  <c r="B704" i="3"/>
  <c r="E703" i="3"/>
  <c r="D703" i="3"/>
  <c r="C703" i="3"/>
  <c r="B703" i="3"/>
  <c r="E702" i="3"/>
  <c r="D702" i="3"/>
  <c r="C702" i="3"/>
  <c r="B702" i="3"/>
  <c r="E701" i="3"/>
  <c r="D701" i="3"/>
  <c r="C701" i="3"/>
  <c r="B701" i="3"/>
  <c r="E700" i="3"/>
  <c r="D700" i="3"/>
  <c r="C700" i="3"/>
  <c r="B700" i="3"/>
  <c r="E699" i="3"/>
  <c r="D699" i="3"/>
  <c r="C699" i="3"/>
  <c r="B699" i="3"/>
  <c r="E698" i="3"/>
  <c r="D698" i="3"/>
  <c r="C698" i="3"/>
  <c r="B698" i="3"/>
  <c r="E697" i="3"/>
  <c r="D697" i="3"/>
  <c r="C697" i="3"/>
  <c r="B697" i="3"/>
  <c r="E696" i="3"/>
  <c r="D696" i="3"/>
  <c r="C696" i="3"/>
  <c r="B696" i="3"/>
  <c r="E695" i="3"/>
  <c r="D695" i="3"/>
  <c r="C695" i="3"/>
  <c r="B695" i="3"/>
  <c r="E694" i="3"/>
  <c r="D694" i="3"/>
  <c r="C694" i="3"/>
  <c r="B694" i="3"/>
  <c r="E693" i="3"/>
  <c r="D693" i="3"/>
  <c r="C693" i="3"/>
  <c r="B693" i="3"/>
  <c r="E692" i="3"/>
  <c r="D692" i="3"/>
  <c r="C692" i="3"/>
  <c r="B692" i="3"/>
  <c r="E691" i="3"/>
  <c r="D691" i="3"/>
  <c r="C691" i="3"/>
  <c r="B691" i="3"/>
  <c r="F690" i="3"/>
  <c r="E690" i="3"/>
  <c r="D690" i="3"/>
  <c r="C690" i="3"/>
  <c r="B690" i="3"/>
  <c r="E689" i="3"/>
  <c r="D689" i="3"/>
  <c r="C689" i="3"/>
  <c r="B689" i="3"/>
  <c r="E688" i="3"/>
  <c r="D688" i="3"/>
  <c r="C688" i="3"/>
  <c r="B688" i="3"/>
  <c r="E687" i="3"/>
  <c r="D687" i="3"/>
  <c r="C687" i="3"/>
  <c r="B687" i="3"/>
  <c r="E686" i="3"/>
  <c r="D686" i="3"/>
  <c r="C686" i="3"/>
  <c r="B686" i="3"/>
  <c r="E685" i="3"/>
  <c r="D685" i="3"/>
  <c r="C685" i="3"/>
  <c r="B685" i="3"/>
  <c r="E684" i="3"/>
  <c r="D684" i="3"/>
  <c r="C684" i="3"/>
  <c r="B684" i="3"/>
  <c r="E683" i="3"/>
  <c r="D683" i="3"/>
  <c r="C683" i="3"/>
  <c r="B683" i="3"/>
  <c r="E682" i="3"/>
  <c r="D682" i="3"/>
  <c r="C682" i="3"/>
  <c r="B682" i="3"/>
  <c r="E681" i="3"/>
  <c r="D681" i="3"/>
  <c r="C681" i="3"/>
  <c r="B681" i="3"/>
  <c r="E680" i="3"/>
  <c r="D680" i="3"/>
  <c r="C680" i="3"/>
  <c r="B680" i="3"/>
  <c r="E679" i="3"/>
  <c r="D679" i="3"/>
  <c r="C679" i="3"/>
  <c r="B679" i="3"/>
  <c r="E678" i="3"/>
  <c r="D678" i="3"/>
  <c r="C678" i="3"/>
  <c r="B678" i="3"/>
  <c r="E677" i="3"/>
  <c r="D677" i="3"/>
  <c r="C677" i="3"/>
  <c r="B677" i="3"/>
  <c r="E676" i="3"/>
  <c r="D676" i="3"/>
  <c r="C676" i="3"/>
  <c r="B676" i="3"/>
  <c r="E675" i="3"/>
  <c r="D675" i="3"/>
  <c r="C675" i="3"/>
  <c r="B675" i="3"/>
  <c r="E674" i="3"/>
  <c r="D674" i="3"/>
  <c r="C674" i="3"/>
  <c r="B674" i="3"/>
  <c r="E673" i="3"/>
  <c r="D673" i="3"/>
  <c r="C673" i="3"/>
  <c r="B673" i="3"/>
  <c r="E672" i="3"/>
  <c r="D672" i="3"/>
  <c r="C672" i="3"/>
  <c r="B672" i="3"/>
  <c r="E671" i="3"/>
  <c r="D671" i="3"/>
  <c r="C671" i="3"/>
  <c r="B671" i="3"/>
  <c r="E670" i="3"/>
  <c r="D670" i="3"/>
  <c r="C670" i="3"/>
  <c r="B670" i="3"/>
  <c r="E669" i="3"/>
  <c r="D669" i="3"/>
  <c r="C669" i="3"/>
  <c r="B669" i="3"/>
  <c r="E668" i="3"/>
  <c r="D668" i="3"/>
  <c r="C668" i="3"/>
  <c r="B668" i="3"/>
  <c r="E667" i="3"/>
  <c r="D667" i="3"/>
  <c r="C667" i="3"/>
  <c r="B667" i="3"/>
  <c r="E666" i="3"/>
  <c r="D666" i="3"/>
  <c r="C666" i="3"/>
  <c r="B666" i="3"/>
  <c r="E665" i="3"/>
  <c r="D665" i="3"/>
  <c r="C665" i="3"/>
  <c r="B665" i="3"/>
  <c r="E664" i="3"/>
  <c r="D664" i="3"/>
  <c r="C664" i="3"/>
  <c r="B664" i="3"/>
  <c r="E663" i="3"/>
  <c r="D663" i="3"/>
  <c r="C663" i="3"/>
  <c r="B663" i="3"/>
  <c r="E662" i="3"/>
  <c r="D662" i="3"/>
  <c r="C662" i="3"/>
  <c r="B662" i="3"/>
  <c r="E661" i="3"/>
  <c r="D661" i="3"/>
  <c r="C661" i="3"/>
  <c r="B661" i="3"/>
  <c r="E660" i="3"/>
  <c r="D660" i="3"/>
  <c r="C660" i="3"/>
  <c r="B660" i="3"/>
  <c r="E659" i="3"/>
  <c r="D659" i="3"/>
  <c r="C659" i="3"/>
  <c r="B659" i="3"/>
  <c r="F658" i="3"/>
  <c r="E658" i="3"/>
  <c r="D658" i="3"/>
  <c r="C658" i="3"/>
  <c r="B658" i="3"/>
  <c r="E657" i="3"/>
  <c r="D657" i="3"/>
  <c r="C657" i="3"/>
  <c r="B657" i="3"/>
  <c r="E656" i="3"/>
  <c r="D656" i="3"/>
  <c r="C656" i="3"/>
  <c r="B656" i="3"/>
  <c r="E655" i="3"/>
  <c r="D655" i="3"/>
  <c r="C655" i="3"/>
  <c r="B655" i="3"/>
  <c r="E654" i="3"/>
  <c r="D654" i="3"/>
  <c r="C654" i="3"/>
  <c r="B654" i="3"/>
  <c r="E653" i="3"/>
  <c r="D653" i="3"/>
  <c r="C653" i="3"/>
  <c r="B653" i="3"/>
  <c r="E652" i="3"/>
  <c r="D652" i="3"/>
  <c r="C652" i="3"/>
  <c r="B652" i="3"/>
  <c r="E651" i="3"/>
  <c r="D651" i="3"/>
  <c r="C651" i="3"/>
  <c r="B651" i="3"/>
  <c r="E650" i="3"/>
  <c r="D650" i="3"/>
  <c r="C650" i="3"/>
  <c r="B650" i="3"/>
  <c r="E649" i="3"/>
  <c r="D649" i="3"/>
  <c r="C649" i="3"/>
  <c r="B649" i="3"/>
  <c r="E648" i="3"/>
  <c r="D648" i="3"/>
  <c r="C648" i="3"/>
  <c r="B648" i="3"/>
  <c r="E647" i="3"/>
  <c r="D647" i="3"/>
  <c r="C647" i="3"/>
  <c r="B647" i="3"/>
  <c r="E646" i="3"/>
  <c r="D646" i="3"/>
  <c r="C646" i="3"/>
  <c r="B646" i="3"/>
  <c r="E645" i="3"/>
  <c r="D645" i="3"/>
  <c r="C645" i="3"/>
  <c r="B645" i="3"/>
  <c r="E644" i="3"/>
  <c r="D644" i="3"/>
  <c r="C644" i="3"/>
  <c r="B644" i="3"/>
  <c r="E643" i="3"/>
  <c r="D643" i="3"/>
  <c r="C643" i="3"/>
  <c r="B643" i="3"/>
  <c r="E642" i="3"/>
  <c r="D642" i="3"/>
  <c r="C642" i="3"/>
  <c r="B642" i="3"/>
  <c r="E641" i="3"/>
  <c r="D641" i="3"/>
  <c r="C641" i="3"/>
  <c r="B641" i="3"/>
  <c r="E640" i="3"/>
  <c r="D640" i="3"/>
  <c r="C640" i="3"/>
  <c r="B640" i="3"/>
  <c r="E639" i="3"/>
  <c r="D639" i="3"/>
  <c r="C639" i="3"/>
  <c r="B639" i="3"/>
  <c r="E638" i="3"/>
  <c r="D638" i="3"/>
  <c r="C638" i="3"/>
  <c r="B638" i="3"/>
  <c r="E637" i="3"/>
  <c r="D637" i="3"/>
  <c r="C637" i="3"/>
  <c r="B637" i="3"/>
  <c r="E636" i="3"/>
  <c r="D636" i="3"/>
  <c r="C636" i="3"/>
  <c r="B636" i="3"/>
  <c r="E635" i="3"/>
  <c r="D635" i="3"/>
  <c r="C635" i="3"/>
  <c r="B635" i="3"/>
  <c r="E634" i="3"/>
  <c r="D634" i="3"/>
  <c r="C634" i="3"/>
  <c r="B634" i="3"/>
  <c r="E633" i="3"/>
  <c r="D633" i="3"/>
  <c r="C633" i="3"/>
  <c r="B633" i="3"/>
  <c r="E632" i="3"/>
  <c r="D632" i="3"/>
  <c r="C632" i="3"/>
  <c r="B632" i="3"/>
  <c r="E631" i="3"/>
  <c r="D631" i="3"/>
  <c r="C631" i="3"/>
  <c r="B631" i="3"/>
  <c r="E630" i="3"/>
  <c r="D630" i="3"/>
  <c r="C630" i="3"/>
  <c r="B630" i="3"/>
  <c r="E629" i="3"/>
  <c r="D629" i="3"/>
  <c r="C629" i="3"/>
  <c r="B629" i="3"/>
  <c r="E628" i="3"/>
  <c r="D628" i="3"/>
  <c r="C628" i="3"/>
  <c r="B628" i="3"/>
  <c r="E627" i="3"/>
  <c r="D627" i="3"/>
  <c r="C627" i="3"/>
  <c r="B627" i="3"/>
  <c r="F626" i="3"/>
  <c r="E626" i="3"/>
  <c r="D626" i="3"/>
  <c r="C626" i="3"/>
  <c r="B626" i="3"/>
  <c r="E625" i="3"/>
  <c r="D625" i="3"/>
  <c r="C625" i="3"/>
  <c r="B625" i="3"/>
  <c r="E624" i="3"/>
  <c r="D624" i="3"/>
  <c r="C624" i="3"/>
  <c r="B624" i="3"/>
  <c r="E623" i="3"/>
  <c r="D623" i="3"/>
  <c r="C623" i="3"/>
  <c r="B623" i="3"/>
  <c r="E622" i="3"/>
  <c r="D622" i="3"/>
  <c r="C622" i="3"/>
  <c r="B622" i="3"/>
  <c r="E621" i="3"/>
  <c r="D621" i="3"/>
  <c r="C621" i="3"/>
  <c r="B621" i="3"/>
  <c r="F620" i="3"/>
  <c r="E620" i="3"/>
  <c r="D620" i="3"/>
  <c r="C620" i="3"/>
  <c r="B620" i="3"/>
  <c r="E619" i="3"/>
  <c r="D619" i="3"/>
  <c r="C619" i="3"/>
  <c r="B619" i="3"/>
  <c r="F618" i="3"/>
  <c r="E618" i="3"/>
  <c r="D618" i="3"/>
  <c r="C618" i="3"/>
  <c r="B618" i="3"/>
  <c r="E617" i="3"/>
  <c r="D617" i="3"/>
  <c r="C617" i="3"/>
  <c r="B617" i="3"/>
  <c r="E616" i="3"/>
  <c r="D616" i="3"/>
  <c r="C616" i="3"/>
  <c r="B616" i="3"/>
  <c r="E615" i="3"/>
  <c r="D615" i="3"/>
  <c r="C615" i="3"/>
  <c r="B615" i="3"/>
  <c r="E614" i="3"/>
  <c r="D614" i="3"/>
  <c r="C614" i="3"/>
  <c r="B614" i="3"/>
  <c r="E613" i="3"/>
  <c r="D613" i="3"/>
  <c r="C613" i="3"/>
  <c r="B613" i="3"/>
  <c r="E612" i="3"/>
  <c r="D612" i="3"/>
  <c r="C612" i="3"/>
  <c r="B612" i="3"/>
  <c r="E611" i="3"/>
  <c r="D611" i="3"/>
  <c r="C611" i="3"/>
  <c r="B611" i="3"/>
  <c r="F610" i="3"/>
  <c r="E610" i="3"/>
  <c r="D610" i="3"/>
  <c r="C610" i="3"/>
  <c r="B610" i="3"/>
  <c r="E609" i="3"/>
  <c r="D609" i="3"/>
  <c r="C609" i="3"/>
  <c r="B609" i="3"/>
  <c r="E608" i="3"/>
  <c r="D608" i="3"/>
  <c r="C608" i="3"/>
  <c r="B608" i="3"/>
  <c r="E607" i="3"/>
  <c r="D607" i="3"/>
  <c r="C607" i="3"/>
  <c r="B607" i="3"/>
  <c r="E606" i="3"/>
  <c r="D606" i="3"/>
  <c r="C606" i="3"/>
  <c r="B606" i="3"/>
  <c r="E605" i="3"/>
  <c r="D605" i="3"/>
  <c r="C605" i="3"/>
  <c r="B605" i="3"/>
  <c r="F604" i="3"/>
  <c r="E604" i="3"/>
  <c r="D604" i="3"/>
  <c r="C604" i="3"/>
  <c r="B604" i="3"/>
  <c r="E603" i="3"/>
  <c r="D603" i="3"/>
  <c r="C603" i="3"/>
  <c r="B603" i="3"/>
  <c r="E602" i="3"/>
  <c r="D602" i="3"/>
  <c r="C602" i="3"/>
  <c r="B602" i="3"/>
  <c r="E601" i="3"/>
  <c r="D601" i="3"/>
  <c r="C601" i="3"/>
  <c r="B601" i="3"/>
  <c r="E600" i="3"/>
  <c r="D600" i="3"/>
  <c r="C600" i="3"/>
  <c r="B600" i="3"/>
  <c r="E599" i="3"/>
  <c r="D599" i="3"/>
  <c r="C599" i="3"/>
  <c r="B599" i="3"/>
  <c r="E598" i="3"/>
  <c r="D598" i="3"/>
  <c r="C598" i="3"/>
  <c r="B598" i="3"/>
  <c r="E597" i="3"/>
  <c r="D597" i="3"/>
  <c r="C597" i="3"/>
  <c r="B597" i="3"/>
  <c r="E596" i="3"/>
  <c r="D596" i="3"/>
  <c r="C596" i="3"/>
  <c r="B596" i="3"/>
  <c r="E595" i="3"/>
  <c r="D595" i="3"/>
  <c r="C595" i="3"/>
  <c r="B595" i="3"/>
  <c r="E594" i="3"/>
  <c r="D594" i="3"/>
  <c r="C594" i="3"/>
  <c r="B594" i="3"/>
  <c r="E593" i="3"/>
  <c r="D593" i="3"/>
  <c r="C593" i="3"/>
  <c r="B593" i="3"/>
  <c r="E592" i="3"/>
  <c r="D592" i="3"/>
  <c r="C592" i="3"/>
  <c r="B592" i="3"/>
  <c r="E591" i="3"/>
  <c r="D591" i="3"/>
  <c r="C591" i="3"/>
  <c r="B591" i="3"/>
  <c r="E590" i="3"/>
  <c r="D590" i="3"/>
  <c r="C590" i="3"/>
  <c r="B590" i="3"/>
  <c r="E589" i="3"/>
  <c r="D589" i="3"/>
  <c r="C589" i="3"/>
  <c r="B589" i="3"/>
  <c r="E588" i="3"/>
  <c r="D588" i="3"/>
  <c r="C588" i="3"/>
  <c r="B588" i="3"/>
  <c r="E587" i="3"/>
  <c r="D587" i="3"/>
  <c r="C587" i="3"/>
  <c r="B587" i="3"/>
  <c r="E586" i="3"/>
  <c r="D586" i="3"/>
  <c r="C586" i="3"/>
  <c r="B586" i="3"/>
  <c r="E585" i="3"/>
  <c r="D585" i="3"/>
  <c r="C585" i="3"/>
  <c r="B585" i="3"/>
  <c r="E584" i="3"/>
  <c r="D584" i="3"/>
  <c r="C584" i="3"/>
  <c r="B584" i="3"/>
  <c r="E583" i="3"/>
  <c r="D583" i="3"/>
  <c r="C583" i="3"/>
  <c r="B583" i="3"/>
  <c r="E582" i="3"/>
  <c r="D582" i="3"/>
  <c r="C582" i="3"/>
  <c r="B582" i="3"/>
  <c r="E581" i="3"/>
  <c r="D581" i="3"/>
  <c r="C581" i="3"/>
  <c r="B581" i="3"/>
  <c r="E580" i="3"/>
  <c r="D580" i="3"/>
  <c r="C580" i="3"/>
  <c r="B580" i="3"/>
  <c r="E579" i="3"/>
  <c r="D579" i="3"/>
  <c r="C579" i="3"/>
  <c r="B579" i="3"/>
  <c r="F578" i="3"/>
  <c r="E578" i="3"/>
  <c r="D578" i="3"/>
  <c r="C578" i="3"/>
  <c r="B578" i="3"/>
  <c r="E577" i="3"/>
  <c r="D577" i="3"/>
  <c r="C577" i="3"/>
  <c r="B577" i="3"/>
  <c r="E576" i="3"/>
  <c r="D576" i="3"/>
  <c r="C576" i="3"/>
  <c r="B576" i="3"/>
  <c r="E575" i="3"/>
  <c r="D575" i="3"/>
  <c r="C575" i="3"/>
  <c r="B575" i="3"/>
  <c r="E574" i="3"/>
  <c r="D574" i="3"/>
  <c r="C574" i="3"/>
  <c r="B574" i="3"/>
  <c r="E573" i="3"/>
  <c r="D573" i="3"/>
  <c r="C573" i="3"/>
  <c r="B573" i="3"/>
  <c r="E572" i="3"/>
  <c r="D572" i="3"/>
  <c r="C572" i="3"/>
  <c r="B572" i="3"/>
  <c r="E571" i="3"/>
  <c r="D571" i="3"/>
  <c r="C571" i="3"/>
  <c r="B571" i="3"/>
  <c r="F570" i="3"/>
  <c r="E570" i="3"/>
  <c r="D570" i="3"/>
  <c r="C570" i="3"/>
  <c r="B570" i="3"/>
  <c r="E569" i="3"/>
  <c r="D569" i="3"/>
  <c r="C569" i="3"/>
  <c r="B569" i="3"/>
  <c r="E568" i="3"/>
  <c r="D568" i="3"/>
  <c r="C568" i="3"/>
  <c r="B568" i="3"/>
  <c r="E567" i="3"/>
  <c r="D567" i="3"/>
  <c r="C567" i="3"/>
  <c r="B567" i="3"/>
  <c r="E566" i="3"/>
  <c r="D566" i="3"/>
  <c r="C566" i="3"/>
  <c r="B566" i="3"/>
  <c r="E565" i="3"/>
  <c r="D565" i="3"/>
  <c r="C565" i="3"/>
  <c r="B565" i="3"/>
  <c r="E564" i="3"/>
  <c r="D564" i="3"/>
  <c r="C564" i="3"/>
  <c r="B564" i="3"/>
  <c r="E563" i="3"/>
  <c r="D563" i="3"/>
  <c r="C563" i="3"/>
  <c r="B563" i="3"/>
  <c r="E562" i="3"/>
  <c r="D562" i="3"/>
  <c r="C562" i="3"/>
  <c r="B562" i="3"/>
  <c r="E561" i="3"/>
  <c r="D561" i="3"/>
  <c r="C561" i="3"/>
  <c r="B561" i="3"/>
  <c r="E560" i="3"/>
  <c r="D560" i="3"/>
  <c r="C560" i="3"/>
  <c r="B560" i="3"/>
  <c r="E559" i="3"/>
  <c r="D559" i="3"/>
  <c r="C559" i="3"/>
  <c r="B559" i="3"/>
  <c r="E558" i="3"/>
  <c r="D558" i="3"/>
  <c r="C558" i="3"/>
  <c r="B558" i="3"/>
  <c r="E557" i="3"/>
  <c r="D557" i="3"/>
  <c r="C557" i="3"/>
  <c r="B557" i="3"/>
  <c r="F556" i="3"/>
  <c r="E556" i="3"/>
  <c r="D556" i="3"/>
  <c r="C556" i="3"/>
  <c r="B556" i="3"/>
  <c r="E555" i="3"/>
  <c r="D555" i="3"/>
  <c r="C555" i="3"/>
  <c r="B555" i="3"/>
  <c r="F554" i="3"/>
  <c r="E554" i="3"/>
  <c r="D554" i="3"/>
  <c r="C554" i="3"/>
  <c r="B554" i="3"/>
  <c r="E553" i="3"/>
  <c r="D553" i="3"/>
  <c r="C553" i="3"/>
  <c r="B553" i="3"/>
  <c r="E552" i="3"/>
  <c r="D552" i="3"/>
  <c r="C552" i="3"/>
  <c r="B552" i="3"/>
  <c r="E551" i="3"/>
  <c r="D551" i="3"/>
  <c r="C551" i="3"/>
  <c r="B551" i="3"/>
  <c r="E550" i="3"/>
  <c r="D550" i="3"/>
  <c r="C550" i="3"/>
  <c r="B550" i="3"/>
  <c r="E549" i="3"/>
  <c r="D549" i="3"/>
  <c r="C549" i="3"/>
  <c r="B549" i="3"/>
  <c r="E548" i="3"/>
  <c r="D548" i="3"/>
  <c r="C548" i="3"/>
  <c r="B548" i="3"/>
  <c r="E547" i="3"/>
  <c r="D547" i="3"/>
  <c r="C547" i="3"/>
  <c r="B547" i="3"/>
  <c r="E546" i="3"/>
  <c r="D546" i="3"/>
  <c r="C546" i="3"/>
  <c r="B546" i="3"/>
  <c r="E545" i="3"/>
  <c r="D545" i="3"/>
  <c r="C545" i="3"/>
  <c r="B545" i="3"/>
  <c r="E544" i="3"/>
  <c r="D544" i="3"/>
  <c r="C544" i="3"/>
  <c r="B544" i="3"/>
  <c r="E543" i="3"/>
  <c r="D543" i="3"/>
  <c r="C543" i="3"/>
  <c r="B543" i="3"/>
  <c r="E542" i="3"/>
  <c r="D542" i="3"/>
  <c r="C542" i="3"/>
  <c r="B542" i="3"/>
  <c r="E541" i="3"/>
  <c r="D541" i="3"/>
  <c r="C541" i="3"/>
  <c r="B541" i="3"/>
  <c r="F540" i="3"/>
  <c r="E540" i="3"/>
  <c r="D540" i="3"/>
  <c r="C540" i="3"/>
  <c r="B540" i="3"/>
  <c r="E539" i="3"/>
  <c r="D539" i="3"/>
  <c r="C539" i="3"/>
  <c r="B539" i="3"/>
  <c r="E538" i="3"/>
  <c r="D538" i="3"/>
  <c r="C538" i="3"/>
  <c r="B538" i="3"/>
  <c r="E537" i="3"/>
  <c r="D537" i="3"/>
  <c r="C537" i="3"/>
  <c r="B537" i="3"/>
  <c r="E536" i="3"/>
  <c r="D536" i="3"/>
  <c r="C536" i="3"/>
  <c r="B536" i="3"/>
  <c r="E535" i="3"/>
  <c r="D535" i="3"/>
  <c r="C535" i="3"/>
  <c r="B535" i="3"/>
  <c r="E534" i="3"/>
  <c r="D534" i="3"/>
  <c r="C534" i="3"/>
  <c r="B534" i="3"/>
  <c r="E533" i="3"/>
  <c r="D533" i="3"/>
  <c r="C533" i="3"/>
  <c r="B533" i="3"/>
  <c r="E532" i="3"/>
  <c r="D532" i="3"/>
  <c r="C532" i="3"/>
  <c r="B532" i="3"/>
  <c r="E531" i="3"/>
  <c r="D531" i="3"/>
  <c r="C531" i="3"/>
  <c r="B531" i="3"/>
  <c r="F530" i="3"/>
  <c r="E530" i="3"/>
  <c r="D530" i="3"/>
  <c r="C530" i="3"/>
  <c r="B530" i="3"/>
  <c r="E529" i="3"/>
  <c r="D529" i="3"/>
  <c r="C529" i="3"/>
  <c r="B529" i="3"/>
  <c r="E528" i="3"/>
  <c r="D528" i="3"/>
  <c r="C528" i="3"/>
  <c r="B528" i="3"/>
  <c r="E527" i="3"/>
  <c r="D527" i="3"/>
  <c r="C527" i="3"/>
  <c r="B527" i="3"/>
  <c r="E526" i="3"/>
  <c r="D526" i="3"/>
  <c r="C526" i="3"/>
  <c r="B526" i="3"/>
  <c r="E525" i="3"/>
  <c r="D525" i="3"/>
  <c r="C525" i="3"/>
  <c r="B525" i="3"/>
  <c r="F524" i="3"/>
  <c r="E524" i="3"/>
  <c r="D524" i="3"/>
  <c r="C524" i="3"/>
  <c r="B524" i="3"/>
  <c r="E523" i="3"/>
  <c r="D523" i="3"/>
  <c r="C523" i="3"/>
  <c r="B523" i="3"/>
  <c r="F522" i="3"/>
  <c r="E522" i="3"/>
  <c r="D522" i="3"/>
  <c r="C522" i="3"/>
  <c r="B522" i="3"/>
  <c r="E521" i="3"/>
  <c r="D521" i="3"/>
  <c r="C521" i="3"/>
  <c r="B521" i="3"/>
  <c r="E520" i="3"/>
  <c r="D520" i="3"/>
  <c r="C520" i="3"/>
  <c r="B520" i="3"/>
  <c r="E519" i="3"/>
  <c r="D519" i="3"/>
  <c r="C519" i="3"/>
  <c r="B519" i="3"/>
  <c r="E518" i="3"/>
  <c r="D518" i="3"/>
  <c r="C518" i="3"/>
  <c r="B518" i="3"/>
  <c r="E517" i="3"/>
  <c r="D517" i="3"/>
  <c r="C517" i="3"/>
  <c r="B517" i="3"/>
  <c r="E516" i="3"/>
  <c r="D516" i="3"/>
  <c r="C516" i="3"/>
  <c r="B516" i="3"/>
  <c r="E515" i="3"/>
  <c r="D515" i="3"/>
  <c r="C515" i="3"/>
  <c r="B515" i="3"/>
  <c r="F514" i="3"/>
  <c r="E514" i="3"/>
  <c r="D514" i="3"/>
  <c r="C514" i="3"/>
  <c r="B514" i="3"/>
  <c r="E513" i="3"/>
  <c r="D513" i="3"/>
  <c r="C513" i="3"/>
  <c r="B513" i="3"/>
  <c r="E512" i="3"/>
  <c r="D512" i="3"/>
  <c r="C512" i="3"/>
  <c r="B512" i="3"/>
  <c r="E511" i="3"/>
  <c r="D511" i="3"/>
  <c r="C511" i="3"/>
  <c r="B511" i="3"/>
  <c r="E510" i="3"/>
  <c r="D510" i="3"/>
  <c r="C510" i="3"/>
  <c r="B510" i="3"/>
  <c r="E509" i="3"/>
  <c r="D509" i="3"/>
  <c r="C509" i="3"/>
  <c r="B509" i="3"/>
  <c r="F508" i="3"/>
  <c r="E508" i="3"/>
  <c r="D508" i="3"/>
  <c r="C508" i="3"/>
  <c r="B508" i="3"/>
  <c r="F507" i="3"/>
  <c r="E507" i="3"/>
  <c r="D507" i="3"/>
  <c r="C507" i="3"/>
  <c r="B507" i="3"/>
  <c r="F506" i="3"/>
  <c r="E506" i="3"/>
  <c r="D506" i="3"/>
  <c r="C506" i="3"/>
  <c r="B506" i="3"/>
  <c r="F505" i="3"/>
  <c r="E505" i="3"/>
  <c r="D505" i="3"/>
  <c r="C505" i="3"/>
  <c r="B505" i="3"/>
  <c r="E504" i="3"/>
  <c r="D504" i="3"/>
  <c r="C504" i="3"/>
  <c r="B504" i="3"/>
  <c r="E503" i="3"/>
  <c r="D503" i="3"/>
  <c r="C503" i="3"/>
  <c r="B503" i="3"/>
  <c r="E502" i="3"/>
  <c r="D502" i="3"/>
  <c r="C502" i="3"/>
  <c r="B502" i="3"/>
  <c r="E501" i="3"/>
  <c r="D501" i="3"/>
  <c r="C501" i="3"/>
  <c r="B501" i="3"/>
  <c r="E500" i="3"/>
  <c r="D500" i="3"/>
  <c r="C500" i="3"/>
  <c r="B500" i="3"/>
  <c r="E499" i="3"/>
  <c r="D499" i="3"/>
  <c r="C499" i="3"/>
  <c r="B499" i="3"/>
  <c r="E498" i="3"/>
  <c r="D498" i="3"/>
  <c r="C498" i="3"/>
  <c r="B498" i="3"/>
  <c r="E497" i="3"/>
  <c r="D497" i="3"/>
  <c r="C497" i="3"/>
  <c r="B497" i="3"/>
  <c r="E496" i="3"/>
  <c r="D496" i="3"/>
  <c r="C496" i="3"/>
  <c r="B496" i="3"/>
  <c r="E495" i="3"/>
  <c r="D495" i="3"/>
  <c r="C495" i="3"/>
  <c r="B495" i="3"/>
  <c r="E494" i="3"/>
  <c r="D494" i="3"/>
  <c r="C494" i="3"/>
  <c r="B494" i="3"/>
  <c r="E493" i="3"/>
  <c r="D493" i="3"/>
  <c r="C493" i="3"/>
  <c r="B493" i="3"/>
  <c r="F492" i="3"/>
  <c r="E492" i="3"/>
  <c r="D492" i="3"/>
  <c r="C492" i="3"/>
  <c r="B492" i="3"/>
  <c r="E491" i="3"/>
  <c r="D491" i="3"/>
  <c r="C491" i="3"/>
  <c r="B491" i="3"/>
  <c r="E490" i="3"/>
  <c r="D490" i="3"/>
  <c r="C490" i="3"/>
  <c r="B490" i="3"/>
  <c r="E489" i="3"/>
  <c r="D489" i="3"/>
  <c r="C489" i="3"/>
  <c r="B489" i="3"/>
  <c r="E488" i="3"/>
  <c r="D488" i="3"/>
  <c r="C488" i="3"/>
  <c r="B488" i="3"/>
  <c r="E487" i="3"/>
  <c r="D487" i="3"/>
  <c r="C487" i="3"/>
  <c r="B487" i="3"/>
  <c r="E486" i="3"/>
  <c r="D486" i="3"/>
  <c r="C486" i="3"/>
  <c r="B486" i="3"/>
  <c r="E485" i="3"/>
  <c r="D485" i="3"/>
  <c r="C485" i="3"/>
  <c r="B485" i="3"/>
  <c r="E484" i="3"/>
  <c r="D484" i="3"/>
  <c r="C484" i="3"/>
  <c r="B484" i="3"/>
  <c r="E483" i="3"/>
  <c r="D483" i="3"/>
  <c r="C483" i="3"/>
  <c r="B483" i="3"/>
  <c r="F482" i="3"/>
  <c r="E482" i="3"/>
  <c r="D482" i="3"/>
  <c r="C482" i="3"/>
  <c r="B482" i="3"/>
  <c r="E481" i="3"/>
  <c r="D481" i="3"/>
  <c r="C481" i="3"/>
  <c r="B481" i="3"/>
  <c r="E480" i="3"/>
  <c r="D480" i="3"/>
  <c r="C480" i="3"/>
  <c r="B480" i="3"/>
  <c r="E479" i="3"/>
  <c r="D479" i="3"/>
  <c r="C479" i="3"/>
  <c r="B479" i="3"/>
  <c r="E478" i="3"/>
  <c r="D478" i="3"/>
  <c r="C478" i="3"/>
  <c r="B478" i="3"/>
  <c r="E477" i="3"/>
  <c r="D477" i="3"/>
  <c r="C477" i="3"/>
  <c r="B477" i="3"/>
  <c r="F476" i="3"/>
  <c r="E476" i="3"/>
  <c r="D476" i="3"/>
  <c r="C476" i="3"/>
  <c r="B476" i="3"/>
  <c r="E475" i="3"/>
  <c r="D475" i="3"/>
  <c r="C475" i="3"/>
  <c r="B475" i="3"/>
  <c r="F474" i="3"/>
  <c r="E474" i="3"/>
  <c r="D474" i="3"/>
  <c r="C474" i="3"/>
  <c r="B474" i="3"/>
  <c r="E473" i="3"/>
  <c r="D473" i="3"/>
  <c r="C473" i="3"/>
  <c r="B473" i="3"/>
  <c r="E472" i="3"/>
  <c r="D472" i="3"/>
  <c r="C472" i="3"/>
  <c r="B472" i="3"/>
  <c r="E471" i="3"/>
  <c r="D471" i="3"/>
  <c r="C471" i="3"/>
  <c r="B471" i="3"/>
  <c r="E470" i="3"/>
  <c r="D470" i="3"/>
  <c r="C470" i="3"/>
  <c r="B470" i="3"/>
  <c r="E469" i="3"/>
  <c r="D469" i="3"/>
  <c r="C469" i="3"/>
  <c r="B469" i="3"/>
  <c r="E468" i="3"/>
  <c r="D468" i="3"/>
  <c r="C468" i="3"/>
  <c r="B468" i="3"/>
  <c r="E467" i="3"/>
  <c r="D467" i="3"/>
  <c r="C467" i="3"/>
  <c r="B467" i="3"/>
  <c r="F466" i="3"/>
  <c r="E466" i="3"/>
  <c r="D466" i="3"/>
  <c r="C466" i="3"/>
  <c r="B466" i="3"/>
  <c r="E465" i="3"/>
  <c r="D465" i="3"/>
  <c r="C465" i="3"/>
  <c r="B465" i="3"/>
  <c r="E464" i="3"/>
  <c r="D464" i="3"/>
  <c r="C464" i="3"/>
  <c r="B464" i="3"/>
  <c r="E463" i="3"/>
  <c r="D463" i="3"/>
  <c r="C463" i="3"/>
  <c r="B463" i="3"/>
  <c r="E462" i="3"/>
  <c r="D462" i="3"/>
  <c r="C462" i="3"/>
  <c r="B462" i="3"/>
  <c r="E461" i="3"/>
  <c r="D461" i="3"/>
  <c r="C461" i="3"/>
  <c r="B461" i="3"/>
  <c r="F460" i="3"/>
  <c r="E460" i="3"/>
  <c r="D460" i="3"/>
  <c r="C460" i="3"/>
  <c r="B460" i="3"/>
  <c r="E459" i="3"/>
  <c r="D459" i="3"/>
  <c r="C459" i="3"/>
  <c r="B459" i="3"/>
  <c r="F458" i="3"/>
  <c r="E458" i="3"/>
  <c r="D458" i="3"/>
  <c r="C458" i="3"/>
  <c r="B458" i="3"/>
  <c r="E457" i="3"/>
  <c r="D457" i="3"/>
  <c r="C457" i="3"/>
  <c r="B457" i="3"/>
  <c r="E456" i="3"/>
  <c r="D456" i="3"/>
  <c r="C456" i="3"/>
  <c r="B456" i="3"/>
  <c r="E455" i="3"/>
  <c r="D455" i="3"/>
  <c r="C455" i="3"/>
  <c r="B455" i="3"/>
  <c r="E454" i="3"/>
  <c r="D454" i="3"/>
  <c r="C454" i="3"/>
  <c r="B454" i="3"/>
  <c r="E453" i="3"/>
  <c r="D453" i="3"/>
  <c r="C453" i="3"/>
  <c r="B453" i="3"/>
  <c r="E452" i="3"/>
  <c r="D452" i="3"/>
  <c r="C452" i="3"/>
  <c r="B452" i="3"/>
  <c r="E451" i="3"/>
  <c r="D451" i="3"/>
  <c r="C451" i="3"/>
  <c r="B451" i="3"/>
  <c r="E450" i="3"/>
  <c r="D450" i="3"/>
  <c r="C450" i="3"/>
  <c r="B450" i="3"/>
  <c r="E449" i="3"/>
  <c r="D449" i="3"/>
  <c r="C449" i="3"/>
  <c r="B449" i="3"/>
  <c r="E448" i="3"/>
  <c r="D448" i="3"/>
  <c r="C448" i="3"/>
  <c r="B448" i="3"/>
  <c r="E447" i="3"/>
  <c r="D447" i="3"/>
  <c r="C447" i="3"/>
  <c r="B447" i="3"/>
  <c r="E446" i="3"/>
  <c r="D446" i="3"/>
  <c r="C446" i="3"/>
  <c r="B446" i="3"/>
  <c r="E445" i="3"/>
  <c r="D445" i="3"/>
  <c r="C445" i="3"/>
  <c r="B445" i="3"/>
  <c r="F444" i="3"/>
  <c r="E444" i="3"/>
  <c r="D444" i="3"/>
  <c r="C444" i="3"/>
  <c r="B444" i="3"/>
  <c r="E443" i="3"/>
  <c r="D443" i="3"/>
  <c r="C443" i="3"/>
  <c r="B443" i="3"/>
  <c r="F442" i="3"/>
  <c r="E442" i="3"/>
  <c r="D442" i="3"/>
  <c r="C442" i="3"/>
  <c r="B442" i="3"/>
  <c r="E441" i="3"/>
  <c r="D441" i="3"/>
  <c r="C441" i="3"/>
  <c r="B441" i="3"/>
  <c r="E440" i="3"/>
  <c r="D440" i="3"/>
  <c r="C440" i="3"/>
  <c r="B440" i="3"/>
  <c r="E439" i="3"/>
  <c r="D439" i="3"/>
  <c r="C439" i="3"/>
  <c r="B439" i="3"/>
  <c r="E438" i="3"/>
  <c r="D438" i="3"/>
  <c r="C438" i="3"/>
  <c r="B438" i="3"/>
  <c r="E437" i="3"/>
  <c r="D437" i="3"/>
  <c r="C437" i="3"/>
  <c r="B437" i="3"/>
  <c r="E436" i="3"/>
  <c r="D436" i="3"/>
  <c r="C436" i="3"/>
  <c r="B436" i="3"/>
  <c r="E435" i="3"/>
  <c r="D435" i="3"/>
  <c r="C435" i="3"/>
  <c r="B435" i="3"/>
  <c r="F434" i="3"/>
  <c r="E434" i="3"/>
  <c r="D434" i="3"/>
  <c r="C434" i="3"/>
  <c r="B434" i="3"/>
  <c r="E433" i="3"/>
  <c r="D433" i="3"/>
  <c r="C433" i="3"/>
  <c r="B433" i="3"/>
  <c r="E432" i="3"/>
  <c r="D432" i="3"/>
  <c r="C432" i="3"/>
  <c r="B432" i="3"/>
  <c r="E431" i="3"/>
  <c r="D431" i="3"/>
  <c r="C431" i="3"/>
  <c r="B431" i="3"/>
  <c r="E430" i="3"/>
  <c r="D430" i="3"/>
  <c r="C430" i="3"/>
  <c r="B430" i="3"/>
  <c r="E429" i="3"/>
  <c r="D429" i="3"/>
  <c r="C429" i="3"/>
  <c r="B429" i="3"/>
  <c r="F428" i="3"/>
  <c r="E428" i="3"/>
  <c r="D428" i="3"/>
  <c r="C428" i="3"/>
  <c r="B428" i="3"/>
  <c r="F427" i="3"/>
  <c r="E427" i="3"/>
  <c r="D427" i="3"/>
  <c r="C427" i="3"/>
  <c r="B427" i="3"/>
  <c r="F426" i="3"/>
  <c r="E426" i="3"/>
  <c r="D426" i="3"/>
  <c r="C426" i="3"/>
  <c r="B426" i="3"/>
  <c r="F425" i="3"/>
  <c r="E425" i="3"/>
  <c r="D425" i="3"/>
  <c r="C425" i="3"/>
  <c r="B425" i="3"/>
  <c r="E424" i="3"/>
  <c r="D424" i="3"/>
  <c r="C424" i="3"/>
  <c r="B424" i="3"/>
  <c r="E423" i="3"/>
  <c r="D423" i="3"/>
  <c r="C423" i="3"/>
  <c r="B423" i="3"/>
  <c r="F422" i="3"/>
  <c r="E422" i="3"/>
  <c r="D422" i="3"/>
  <c r="C422" i="3"/>
  <c r="B422" i="3"/>
  <c r="E421" i="3"/>
  <c r="D421" i="3"/>
  <c r="C421" i="3"/>
  <c r="B421" i="3"/>
  <c r="E420" i="3"/>
  <c r="D420" i="3"/>
  <c r="C420" i="3"/>
  <c r="B420" i="3"/>
  <c r="E419" i="3"/>
  <c r="D419" i="3"/>
  <c r="C419" i="3"/>
  <c r="B419" i="3"/>
  <c r="F418" i="3"/>
  <c r="E418" i="3"/>
  <c r="D418" i="3"/>
  <c r="C418" i="3"/>
  <c r="B418" i="3"/>
  <c r="E417" i="3"/>
  <c r="D417" i="3"/>
  <c r="C417" i="3"/>
  <c r="B417" i="3"/>
  <c r="E416" i="3"/>
  <c r="D416" i="3"/>
  <c r="C416" i="3"/>
  <c r="B416" i="3"/>
  <c r="E415" i="3"/>
  <c r="D415" i="3"/>
  <c r="C415" i="3"/>
  <c r="B415" i="3"/>
  <c r="E414" i="3"/>
  <c r="D414" i="3"/>
  <c r="C414" i="3"/>
  <c r="B414" i="3"/>
  <c r="E413" i="3"/>
  <c r="D413" i="3"/>
  <c r="C413" i="3"/>
  <c r="B413" i="3"/>
  <c r="F412" i="3"/>
  <c r="E412" i="3"/>
  <c r="D412" i="3"/>
  <c r="C412" i="3"/>
  <c r="B412" i="3"/>
  <c r="F411" i="3"/>
  <c r="E411" i="3"/>
  <c r="D411" i="3"/>
  <c r="C411" i="3"/>
  <c r="B411" i="3"/>
  <c r="F410" i="3"/>
  <c r="E410" i="3"/>
  <c r="D410" i="3"/>
  <c r="C410" i="3"/>
  <c r="B410" i="3"/>
  <c r="F409" i="3"/>
  <c r="E409" i="3"/>
  <c r="D409" i="3"/>
  <c r="C409" i="3"/>
  <c r="B409" i="3"/>
  <c r="E408" i="3"/>
  <c r="D408" i="3"/>
  <c r="C408" i="3"/>
  <c r="B408" i="3"/>
  <c r="F407" i="3"/>
  <c r="E407" i="3"/>
  <c r="D407" i="3"/>
  <c r="C407" i="3"/>
  <c r="B407" i="3"/>
  <c r="F406" i="3"/>
  <c r="E406" i="3"/>
  <c r="D406" i="3"/>
  <c r="C406" i="3"/>
  <c r="B406" i="3"/>
  <c r="E405" i="3"/>
  <c r="D405" i="3"/>
  <c r="C405" i="3"/>
  <c r="B405" i="3"/>
  <c r="E404" i="3"/>
  <c r="D404" i="3"/>
  <c r="C404" i="3"/>
  <c r="B404" i="3"/>
  <c r="E403" i="3"/>
  <c r="D403" i="3"/>
  <c r="C403" i="3"/>
  <c r="B403" i="3"/>
  <c r="E402" i="3"/>
  <c r="D402" i="3"/>
  <c r="C402" i="3"/>
  <c r="B402" i="3"/>
  <c r="E401" i="3"/>
  <c r="D401" i="3"/>
  <c r="C401" i="3"/>
  <c r="B401" i="3"/>
  <c r="E400" i="3"/>
  <c r="D400" i="3"/>
  <c r="C400" i="3"/>
  <c r="B400" i="3"/>
  <c r="E399" i="3"/>
  <c r="D399" i="3"/>
  <c r="C399" i="3"/>
  <c r="B399" i="3"/>
  <c r="E398" i="3"/>
  <c r="D398" i="3"/>
  <c r="C398" i="3"/>
  <c r="B398" i="3"/>
  <c r="E397" i="3"/>
  <c r="D397" i="3"/>
  <c r="C397" i="3"/>
  <c r="B397" i="3"/>
  <c r="F396" i="3"/>
  <c r="E396" i="3"/>
  <c r="D396" i="3"/>
  <c r="C396" i="3"/>
  <c r="B396" i="3"/>
  <c r="F395" i="3"/>
  <c r="E395" i="3"/>
  <c r="D395" i="3"/>
  <c r="C395" i="3"/>
  <c r="B395" i="3"/>
  <c r="F394" i="3"/>
  <c r="E394" i="3"/>
  <c r="D394" i="3"/>
  <c r="C394" i="3"/>
  <c r="B394" i="3"/>
  <c r="E393" i="3"/>
  <c r="D393" i="3"/>
  <c r="C393" i="3"/>
  <c r="B393" i="3"/>
  <c r="E392" i="3"/>
  <c r="D392" i="3"/>
  <c r="C392" i="3"/>
  <c r="B392" i="3"/>
  <c r="E391" i="3"/>
  <c r="D391" i="3"/>
  <c r="C391" i="3"/>
  <c r="B391" i="3"/>
  <c r="E390" i="3"/>
  <c r="D390" i="3"/>
  <c r="C390" i="3"/>
  <c r="B390" i="3"/>
  <c r="E389" i="3"/>
  <c r="D389" i="3"/>
  <c r="C389" i="3"/>
  <c r="B389" i="3"/>
  <c r="E388" i="3"/>
  <c r="D388" i="3"/>
  <c r="C388" i="3"/>
  <c r="B388" i="3"/>
  <c r="E387" i="3"/>
  <c r="D387" i="3"/>
  <c r="C387" i="3"/>
  <c r="B387" i="3"/>
  <c r="E386" i="3"/>
  <c r="D386" i="3"/>
  <c r="C386" i="3"/>
  <c r="B386" i="3"/>
  <c r="E385" i="3"/>
  <c r="D385" i="3"/>
  <c r="C385" i="3"/>
  <c r="B385" i="3"/>
  <c r="E384" i="3"/>
  <c r="D384" i="3"/>
  <c r="C384" i="3"/>
  <c r="B384" i="3"/>
  <c r="E383" i="3"/>
  <c r="D383" i="3"/>
  <c r="C383" i="3"/>
  <c r="B383" i="3"/>
  <c r="E382" i="3"/>
  <c r="D382" i="3"/>
  <c r="C382" i="3"/>
  <c r="B382" i="3"/>
  <c r="E381" i="3"/>
  <c r="D381" i="3"/>
  <c r="C381" i="3"/>
  <c r="B381" i="3"/>
  <c r="F380" i="3"/>
  <c r="E380" i="3"/>
  <c r="D380" i="3"/>
  <c r="C380" i="3"/>
  <c r="B380" i="3"/>
  <c r="F379" i="3"/>
  <c r="E379" i="3"/>
  <c r="D379" i="3"/>
  <c r="C379" i="3"/>
  <c r="B379" i="3"/>
  <c r="F378" i="3"/>
  <c r="E378" i="3"/>
  <c r="D378" i="3"/>
  <c r="C378" i="3"/>
  <c r="B378" i="3"/>
  <c r="F377" i="3"/>
  <c r="E377" i="3"/>
  <c r="D377" i="3"/>
  <c r="C377" i="3"/>
  <c r="B377" i="3"/>
  <c r="E376" i="3"/>
  <c r="D376" i="3"/>
  <c r="C376" i="3"/>
  <c r="B376" i="3"/>
  <c r="E375" i="3"/>
  <c r="D375" i="3"/>
  <c r="C375" i="3"/>
  <c r="B375" i="3"/>
  <c r="F374" i="3"/>
  <c r="E374" i="3"/>
  <c r="D374" i="3"/>
  <c r="C374" i="3"/>
  <c r="B374" i="3"/>
  <c r="E373" i="3"/>
  <c r="D373" i="3"/>
  <c r="C373" i="3"/>
  <c r="B373" i="3"/>
  <c r="E372" i="3"/>
  <c r="D372" i="3"/>
  <c r="C372" i="3"/>
  <c r="B372" i="3"/>
  <c r="E371" i="3"/>
  <c r="D371" i="3"/>
  <c r="C371" i="3"/>
  <c r="B371" i="3"/>
  <c r="F370" i="3"/>
  <c r="E370" i="3"/>
  <c r="D370" i="3"/>
  <c r="C370" i="3"/>
  <c r="B370" i="3"/>
  <c r="E369" i="3"/>
  <c r="D369" i="3"/>
  <c r="C369" i="3"/>
  <c r="B369" i="3"/>
  <c r="F368" i="3"/>
  <c r="E368" i="3"/>
  <c r="D368" i="3"/>
  <c r="C368" i="3"/>
  <c r="B368" i="3"/>
  <c r="E367" i="3"/>
  <c r="D367" i="3"/>
  <c r="C367" i="3"/>
  <c r="B367" i="3"/>
  <c r="E366" i="3"/>
  <c r="D366" i="3"/>
  <c r="C366" i="3"/>
  <c r="B366" i="3"/>
  <c r="E365" i="3"/>
  <c r="D365" i="3"/>
  <c r="C365" i="3"/>
  <c r="B365" i="3"/>
  <c r="F364" i="3"/>
  <c r="E364" i="3"/>
  <c r="D364" i="3"/>
  <c r="C364" i="3"/>
  <c r="B364" i="3"/>
  <c r="E363" i="3"/>
  <c r="D363" i="3"/>
  <c r="C363" i="3"/>
  <c r="B363" i="3"/>
  <c r="E362" i="3"/>
  <c r="D362" i="3"/>
  <c r="C362" i="3"/>
  <c r="B362" i="3"/>
  <c r="F361" i="3"/>
  <c r="E361" i="3"/>
  <c r="D361" i="3"/>
  <c r="C361" i="3"/>
  <c r="B361" i="3"/>
  <c r="E360" i="3"/>
  <c r="D360" i="3"/>
  <c r="C360" i="3"/>
  <c r="B360" i="3"/>
  <c r="E359" i="3"/>
  <c r="D359" i="3"/>
  <c r="C359" i="3"/>
  <c r="B359" i="3"/>
  <c r="E358" i="3"/>
  <c r="D358" i="3"/>
  <c r="C358" i="3"/>
  <c r="B358" i="3"/>
  <c r="E357" i="3"/>
  <c r="D357" i="3"/>
  <c r="C357" i="3"/>
  <c r="B357" i="3"/>
  <c r="E356" i="3"/>
  <c r="D356" i="3"/>
  <c r="C356" i="3"/>
  <c r="B356" i="3"/>
  <c r="E355" i="3"/>
  <c r="D355" i="3"/>
  <c r="C355" i="3"/>
  <c r="B355" i="3"/>
  <c r="F354" i="3"/>
  <c r="E354" i="3"/>
  <c r="D354" i="3"/>
  <c r="C354" i="3"/>
  <c r="B354" i="3"/>
  <c r="E353" i="3"/>
  <c r="D353" i="3"/>
  <c r="C353" i="3"/>
  <c r="B353" i="3"/>
  <c r="E352" i="3"/>
  <c r="D352" i="3"/>
  <c r="C352" i="3"/>
  <c r="B352" i="3"/>
  <c r="E351" i="3"/>
  <c r="D351" i="3"/>
  <c r="C351" i="3"/>
  <c r="B351" i="3"/>
  <c r="E350" i="3"/>
  <c r="D350" i="3"/>
  <c r="C350" i="3"/>
  <c r="B350" i="3"/>
  <c r="E349" i="3"/>
  <c r="D349" i="3"/>
  <c r="C349" i="3"/>
  <c r="B349" i="3"/>
  <c r="E348" i="3"/>
  <c r="D348" i="3"/>
  <c r="C348" i="3"/>
  <c r="B348" i="3"/>
  <c r="E347" i="3"/>
  <c r="D347" i="3"/>
  <c r="C347" i="3"/>
  <c r="B347" i="3"/>
  <c r="E346" i="3"/>
  <c r="D346" i="3"/>
  <c r="C346" i="3"/>
  <c r="B346" i="3"/>
  <c r="E345" i="3"/>
  <c r="D345" i="3"/>
  <c r="C345" i="3"/>
  <c r="B345" i="3"/>
  <c r="E344" i="3"/>
  <c r="D344" i="3"/>
  <c r="C344" i="3"/>
  <c r="B344" i="3"/>
  <c r="E343" i="3"/>
  <c r="D343" i="3"/>
  <c r="C343" i="3"/>
  <c r="B343" i="3"/>
  <c r="E342" i="3"/>
  <c r="D342" i="3"/>
  <c r="C342" i="3"/>
  <c r="B342" i="3"/>
  <c r="E341" i="3"/>
  <c r="D341" i="3"/>
  <c r="C341" i="3"/>
  <c r="B341" i="3"/>
  <c r="E340" i="3"/>
  <c r="D340" i="3"/>
  <c r="C340" i="3"/>
  <c r="B340" i="3"/>
  <c r="E339" i="3"/>
  <c r="D339" i="3"/>
  <c r="C339" i="3"/>
  <c r="B339" i="3"/>
  <c r="F338" i="3"/>
  <c r="E338" i="3"/>
  <c r="D338" i="3"/>
  <c r="C338" i="3"/>
  <c r="B338" i="3"/>
  <c r="E337" i="3"/>
  <c r="D337" i="3"/>
  <c r="C337" i="3"/>
  <c r="B337" i="3"/>
  <c r="E336" i="3"/>
  <c r="D336" i="3"/>
  <c r="C336" i="3"/>
  <c r="B336" i="3"/>
  <c r="E335" i="3"/>
  <c r="D335" i="3"/>
  <c r="C335" i="3"/>
  <c r="B335" i="3"/>
  <c r="E334" i="3"/>
  <c r="D334" i="3"/>
  <c r="C334" i="3"/>
  <c r="B334" i="3"/>
  <c r="E333" i="3"/>
  <c r="D333" i="3"/>
  <c r="C333" i="3"/>
  <c r="B333" i="3"/>
  <c r="F332" i="3"/>
  <c r="E332" i="3"/>
  <c r="D332" i="3"/>
  <c r="C332" i="3"/>
  <c r="B332" i="3"/>
  <c r="F331" i="3"/>
  <c r="E331" i="3"/>
  <c r="D331" i="3"/>
  <c r="C331" i="3"/>
  <c r="B331" i="3"/>
  <c r="F330" i="3"/>
  <c r="E330" i="3"/>
  <c r="D330" i="3"/>
  <c r="C330" i="3"/>
  <c r="B330" i="3"/>
  <c r="F329" i="3"/>
  <c r="E329" i="3"/>
  <c r="D329" i="3"/>
  <c r="C329" i="3"/>
  <c r="B329" i="3"/>
  <c r="E328" i="3"/>
  <c r="D328" i="3"/>
  <c r="C328" i="3"/>
  <c r="B328" i="3"/>
  <c r="F327" i="3"/>
  <c r="E327" i="3"/>
  <c r="D327" i="3"/>
  <c r="C327" i="3"/>
  <c r="B327" i="3"/>
  <c r="F326" i="3"/>
  <c r="E326" i="3"/>
  <c r="D326" i="3"/>
  <c r="C326" i="3"/>
  <c r="B326" i="3"/>
  <c r="E325" i="3"/>
  <c r="D325" i="3"/>
  <c r="C325" i="3"/>
  <c r="B325" i="3"/>
  <c r="E324" i="3"/>
  <c r="D324" i="3"/>
  <c r="C324" i="3"/>
  <c r="B324" i="3"/>
  <c r="E323" i="3"/>
  <c r="D323" i="3"/>
  <c r="C323" i="3"/>
  <c r="B323" i="3"/>
  <c r="E322" i="3"/>
  <c r="D322" i="3"/>
  <c r="C322" i="3"/>
  <c r="B322" i="3"/>
  <c r="E321" i="3"/>
  <c r="D321" i="3"/>
  <c r="C321" i="3"/>
  <c r="B321" i="3"/>
  <c r="E320" i="3"/>
  <c r="D320" i="3"/>
  <c r="C320" i="3"/>
  <c r="B320" i="3"/>
  <c r="E319" i="3"/>
  <c r="D319" i="3"/>
  <c r="C319" i="3"/>
  <c r="B319" i="3"/>
  <c r="E318" i="3"/>
  <c r="D318" i="3"/>
  <c r="C318" i="3"/>
  <c r="B318" i="3"/>
  <c r="E317" i="3"/>
  <c r="D317" i="3"/>
  <c r="C317" i="3"/>
  <c r="B317" i="3"/>
  <c r="F316" i="3"/>
  <c r="E316" i="3"/>
  <c r="D316" i="3"/>
  <c r="C316" i="3"/>
  <c r="B316" i="3"/>
  <c r="F315" i="3"/>
  <c r="E315" i="3"/>
  <c r="D315" i="3"/>
  <c r="C315" i="3"/>
  <c r="B315" i="3"/>
  <c r="F314" i="3"/>
  <c r="E314" i="3"/>
  <c r="D314" i="3"/>
  <c r="C314" i="3"/>
  <c r="B314" i="3"/>
  <c r="F313" i="3"/>
  <c r="E313" i="3"/>
  <c r="D313" i="3"/>
  <c r="C313" i="3"/>
  <c r="B313" i="3"/>
  <c r="E312" i="3"/>
  <c r="D312" i="3"/>
  <c r="C312" i="3"/>
  <c r="B312" i="3"/>
  <c r="E311" i="3"/>
  <c r="D311" i="3"/>
  <c r="C311" i="3"/>
  <c r="B311" i="3"/>
  <c r="E310" i="3"/>
  <c r="D310" i="3"/>
  <c r="C310" i="3"/>
  <c r="B310" i="3"/>
  <c r="E309" i="3"/>
  <c r="D309" i="3"/>
  <c r="C309" i="3"/>
  <c r="B309" i="3"/>
  <c r="E308" i="3"/>
  <c r="D308" i="3"/>
  <c r="C308" i="3"/>
  <c r="B308" i="3"/>
  <c r="E307" i="3"/>
  <c r="D307" i="3"/>
  <c r="C307" i="3"/>
  <c r="B307" i="3"/>
  <c r="E306" i="3"/>
  <c r="D306" i="3"/>
  <c r="C306" i="3"/>
  <c r="B306" i="3"/>
  <c r="E305" i="3"/>
  <c r="D305" i="3"/>
  <c r="C305" i="3"/>
  <c r="B305" i="3"/>
  <c r="E304" i="3"/>
  <c r="D304" i="3"/>
  <c r="C304" i="3"/>
  <c r="B304" i="3"/>
  <c r="E303" i="3"/>
  <c r="D303" i="3"/>
  <c r="C303" i="3"/>
  <c r="B303" i="3"/>
  <c r="E302" i="3"/>
  <c r="D302" i="3"/>
  <c r="C302" i="3"/>
  <c r="B302" i="3"/>
  <c r="E301" i="3"/>
  <c r="D301" i="3"/>
  <c r="C301" i="3"/>
  <c r="B301" i="3"/>
  <c r="F300" i="3"/>
  <c r="E300" i="3"/>
  <c r="D300" i="3"/>
  <c r="C300" i="3"/>
  <c r="B300" i="3"/>
  <c r="E299" i="3"/>
  <c r="D299" i="3"/>
  <c r="C299" i="3"/>
  <c r="B299" i="3"/>
  <c r="F298" i="3"/>
  <c r="E298" i="3"/>
  <c r="D298" i="3"/>
  <c r="C298" i="3"/>
  <c r="B298" i="3"/>
  <c r="F297" i="3"/>
  <c r="E297" i="3"/>
  <c r="D297" i="3"/>
  <c r="C297" i="3"/>
  <c r="B297" i="3"/>
  <c r="E296" i="3"/>
  <c r="D296" i="3"/>
  <c r="C296" i="3"/>
  <c r="B296" i="3"/>
  <c r="E295" i="3"/>
  <c r="D295" i="3"/>
  <c r="C295" i="3"/>
  <c r="B295" i="3"/>
  <c r="F294" i="3"/>
  <c r="E294" i="3"/>
  <c r="D294" i="3"/>
  <c r="C294" i="3"/>
  <c r="B294" i="3"/>
  <c r="E293" i="3"/>
  <c r="D293" i="3"/>
  <c r="C293" i="3"/>
  <c r="B293" i="3"/>
  <c r="E292" i="3"/>
  <c r="D292" i="3"/>
  <c r="C292" i="3"/>
  <c r="B292" i="3"/>
  <c r="E291" i="3"/>
  <c r="D291" i="3"/>
  <c r="C291" i="3"/>
  <c r="B291" i="3"/>
  <c r="F290" i="3"/>
  <c r="E290" i="3"/>
  <c r="D290" i="3"/>
  <c r="C290" i="3"/>
  <c r="B290" i="3"/>
  <c r="E289" i="3"/>
  <c r="D289" i="3"/>
  <c r="C289" i="3"/>
  <c r="B289" i="3"/>
  <c r="E288" i="3"/>
  <c r="D288" i="3"/>
  <c r="C288" i="3"/>
  <c r="B288" i="3"/>
  <c r="E287" i="3"/>
  <c r="D287" i="3"/>
  <c r="C287" i="3"/>
  <c r="B287" i="3"/>
  <c r="E286" i="3"/>
  <c r="D286" i="3"/>
  <c r="C286" i="3"/>
  <c r="B286" i="3"/>
  <c r="E285" i="3"/>
  <c r="D285" i="3"/>
  <c r="C285" i="3"/>
  <c r="B285" i="3"/>
  <c r="F284" i="3"/>
  <c r="E284" i="3"/>
  <c r="D284" i="3"/>
  <c r="C284" i="3"/>
  <c r="B284" i="3"/>
  <c r="F283" i="3"/>
  <c r="E283" i="3"/>
  <c r="D283" i="3"/>
  <c r="C283" i="3"/>
  <c r="B283" i="3"/>
  <c r="F282" i="3"/>
  <c r="E282" i="3"/>
  <c r="D282" i="3"/>
  <c r="C282" i="3"/>
  <c r="B282" i="3"/>
  <c r="F281" i="3"/>
  <c r="E281" i="3"/>
  <c r="D281" i="3"/>
  <c r="C281" i="3"/>
  <c r="B281" i="3"/>
  <c r="E280" i="3"/>
  <c r="D280" i="3"/>
  <c r="C280" i="3"/>
  <c r="B280" i="3"/>
  <c r="E279" i="3"/>
  <c r="D279" i="3"/>
  <c r="C279" i="3"/>
  <c r="B279" i="3"/>
  <c r="E278" i="3"/>
  <c r="D278" i="3"/>
  <c r="C278" i="3"/>
  <c r="B278" i="3"/>
  <c r="E277" i="3"/>
  <c r="D277" i="3"/>
  <c r="C277" i="3"/>
  <c r="B277" i="3"/>
  <c r="E276" i="3"/>
  <c r="D276" i="3"/>
  <c r="C276" i="3"/>
  <c r="B276" i="3"/>
  <c r="E275" i="3"/>
  <c r="D275" i="3"/>
  <c r="C275" i="3"/>
  <c r="B275" i="3"/>
  <c r="F274" i="3"/>
  <c r="E274" i="3"/>
  <c r="D274" i="3"/>
  <c r="C274" i="3"/>
  <c r="B274" i="3"/>
  <c r="E273" i="3"/>
  <c r="D273" i="3"/>
  <c r="C273" i="3"/>
  <c r="B273" i="3"/>
  <c r="E272" i="3"/>
  <c r="D272" i="3"/>
  <c r="C272" i="3"/>
  <c r="B272" i="3"/>
  <c r="E271" i="3"/>
  <c r="D271" i="3"/>
  <c r="C271" i="3"/>
  <c r="B271" i="3"/>
  <c r="E270" i="3"/>
  <c r="D270" i="3"/>
  <c r="C270" i="3"/>
  <c r="B270" i="3"/>
  <c r="E269" i="3"/>
  <c r="D269" i="3"/>
  <c r="C269" i="3"/>
  <c r="B269" i="3"/>
  <c r="F268" i="3"/>
  <c r="E268" i="3"/>
  <c r="D268" i="3"/>
  <c r="C268" i="3"/>
  <c r="B268" i="3"/>
  <c r="F267" i="3"/>
  <c r="E267" i="3"/>
  <c r="D267" i="3"/>
  <c r="C267" i="3"/>
  <c r="B267" i="3"/>
  <c r="F266" i="3"/>
  <c r="E266" i="3"/>
  <c r="D266" i="3"/>
  <c r="C266" i="3"/>
  <c r="B266" i="3"/>
  <c r="F265" i="3"/>
  <c r="E265" i="3"/>
  <c r="D265" i="3"/>
  <c r="C265" i="3"/>
  <c r="B265" i="3"/>
  <c r="E264" i="3"/>
  <c r="D264" i="3"/>
  <c r="C264" i="3"/>
  <c r="B264" i="3"/>
  <c r="E263" i="3"/>
  <c r="D263" i="3"/>
  <c r="C263" i="3"/>
  <c r="B263" i="3"/>
  <c r="E262" i="3"/>
  <c r="D262" i="3"/>
  <c r="C262" i="3"/>
  <c r="B262" i="3"/>
  <c r="E261" i="3"/>
  <c r="D261" i="3"/>
  <c r="C261" i="3"/>
  <c r="B261" i="3"/>
  <c r="E260" i="3"/>
  <c r="D260" i="3"/>
  <c r="C260" i="3"/>
  <c r="B260" i="3"/>
  <c r="E259" i="3"/>
  <c r="D259" i="3"/>
  <c r="C259" i="3"/>
  <c r="B259" i="3"/>
  <c r="F258" i="3"/>
  <c r="E258" i="3"/>
  <c r="D258" i="3"/>
  <c r="C258" i="3"/>
  <c r="B258" i="3"/>
  <c r="E257" i="3"/>
  <c r="D257" i="3"/>
  <c r="C257" i="3"/>
  <c r="B257" i="3"/>
  <c r="E256" i="3"/>
  <c r="D256" i="3"/>
  <c r="C256" i="3"/>
  <c r="B256" i="3"/>
  <c r="E255" i="3"/>
  <c r="D255" i="3"/>
  <c r="C255" i="3"/>
  <c r="B255" i="3"/>
  <c r="E254" i="3"/>
  <c r="D254" i="3"/>
  <c r="C254" i="3"/>
  <c r="B254" i="3"/>
  <c r="E253" i="3"/>
  <c r="D253" i="3"/>
  <c r="C253" i="3"/>
  <c r="B253" i="3"/>
  <c r="F252" i="3"/>
  <c r="E252" i="3"/>
  <c r="D252" i="3"/>
  <c r="C252" i="3"/>
  <c r="B252" i="3"/>
  <c r="E251" i="3"/>
  <c r="D251" i="3"/>
  <c r="C251" i="3"/>
  <c r="B251" i="3"/>
  <c r="F250" i="3"/>
  <c r="E250" i="3"/>
  <c r="D250" i="3"/>
  <c r="C250" i="3"/>
  <c r="B250" i="3"/>
  <c r="F249" i="3"/>
  <c r="E249" i="3"/>
  <c r="D249" i="3"/>
  <c r="C249" i="3"/>
  <c r="B249" i="3"/>
  <c r="E248" i="3"/>
  <c r="D248" i="3"/>
  <c r="C248" i="3"/>
  <c r="B248" i="3"/>
  <c r="E247" i="3"/>
  <c r="D247" i="3"/>
  <c r="C247" i="3"/>
  <c r="B247" i="3"/>
  <c r="F246" i="3"/>
  <c r="E246" i="3"/>
  <c r="D246" i="3"/>
  <c r="C246" i="3"/>
  <c r="B246" i="3"/>
  <c r="E245" i="3"/>
  <c r="D245" i="3"/>
  <c r="C245" i="3"/>
  <c r="B245" i="3"/>
  <c r="E244" i="3"/>
  <c r="D244" i="3"/>
  <c r="C244" i="3"/>
  <c r="B244" i="3"/>
  <c r="F243" i="3"/>
  <c r="E243" i="3"/>
  <c r="D243" i="3"/>
  <c r="C243" i="3"/>
  <c r="B243" i="3"/>
  <c r="F242" i="3"/>
  <c r="E242" i="3"/>
  <c r="D242" i="3"/>
  <c r="C242" i="3"/>
  <c r="B242" i="3"/>
  <c r="E241" i="3"/>
  <c r="D241" i="3"/>
  <c r="C241" i="3"/>
  <c r="B241" i="3"/>
  <c r="E240" i="3"/>
  <c r="D240" i="3"/>
  <c r="C240" i="3"/>
  <c r="B240" i="3"/>
  <c r="E239" i="3"/>
  <c r="D239" i="3"/>
  <c r="C239" i="3"/>
  <c r="B239" i="3"/>
  <c r="E238" i="3"/>
  <c r="D238" i="3"/>
  <c r="C238" i="3"/>
  <c r="B238" i="3"/>
  <c r="E237" i="3"/>
  <c r="D237" i="3"/>
  <c r="C237" i="3"/>
  <c r="B237" i="3"/>
  <c r="F236" i="3"/>
  <c r="E236" i="3"/>
  <c r="D236" i="3"/>
  <c r="C236" i="3"/>
  <c r="B236" i="3"/>
  <c r="F235" i="3"/>
  <c r="E235" i="3"/>
  <c r="D235" i="3"/>
  <c r="C235" i="3"/>
  <c r="B235" i="3"/>
  <c r="F234" i="3"/>
  <c r="E234" i="3"/>
  <c r="D234" i="3"/>
  <c r="C234" i="3"/>
  <c r="B234" i="3"/>
  <c r="F233" i="3"/>
  <c r="E233" i="3"/>
  <c r="D233" i="3"/>
  <c r="C233" i="3"/>
  <c r="B233" i="3"/>
  <c r="E232" i="3"/>
  <c r="D232" i="3"/>
  <c r="C232" i="3"/>
  <c r="B232" i="3"/>
  <c r="E231" i="3"/>
  <c r="D231" i="3"/>
  <c r="C231" i="3"/>
  <c r="B231" i="3"/>
  <c r="E230" i="3"/>
  <c r="D230" i="3"/>
  <c r="C230" i="3"/>
  <c r="B230" i="3"/>
  <c r="E229" i="3"/>
  <c r="D229" i="3"/>
  <c r="C229" i="3"/>
  <c r="B229" i="3"/>
  <c r="E228" i="3"/>
  <c r="D228" i="3"/>
  <c r="C228" i="3"/>
  <c r="B228" i="3"/>
  <c r="E227" i="3"/>
  <c r="D227" i="3"/>
  <c r="C227" i="3"/>
  <c r="B227" i="3"/>
  <c r="F226" i="3"/>
  <c r="E226" i="3"/>
  <c r="D226" i="3"/>
  <c r="C226" i="3"/>
  <c r="B226" i="3"/>
  <c r="E225" i="3"/>
  <c r="D225" i="3"/>
  <c r="C225" i="3"/>
  <c r="B225" i="3"/>
  <c r="E224" i="3"/>
  <c r="D224" i="3"/>
  <c r="C224" i="3"/>
  <c r="B224" i="3"/>
  <c r="E223" i="3"/>
  <c r="D223" i="3"/>
  <c r="C223" i="3"/>
  <c r="B223" i="3"/>
  <c r="E222" i="3"/>
  <c r="D222" i="3"/>
  <c r="C222" i="3"/>
  <c r="B222" i="3"/>
  <c r="E221" i="3"/>
  <c r="D221" i="3"/>
  <c r="C221" i="3"/>
  <c r="B221" i="3"/>
  <c r="F220" i="3"/>
  <c r="E220" i="3"/>
  <c r="D220" i="3"/>
  <c r="C220" i="3"/>
  <c r="B220" i="3"/>
  <c r="F219" i="3"/>
  <c r="E219" i="3"/>
  <c r="D219" i="3"/>
  <c r="C219" i="3"/>
  <c r="B219" i="3"/>
  <c r="F218" i="3"/>
  <c r="E218" i="3"/>
  <c r="D218" i="3"/>
  <c r="C218" i="3"/>
  <c r="B218" i="3"/>
  <c r="F217" i="3"/>
  <c r="E217" i="3"/>
  <c r="D217" i="3"/>
  <c r="C217" i="3"/>
  <c r="B217" i="3"/>
  <c r="E216" i="3"/>
  <c r="D216" i="3"/>
  <c r="C216" i="3"/>
  <c r="B216" i="3"/>
  <c r="F215" i="3"/>
  <c r="E215" i="3"/>
  <c r="D215" i="3"/>
  <c r="C215" i="3"/>
  <c r="B215" i="3"/>
  <c r="F214" i="3"/>
  <c r="E214" i="3"/>
  <c r="D214" i="3"/>
  <c r="C214" i="3"/>
  <c r="B214" i="3"/>
  <c r="E213" i="3"/>
  <c r="D213" i="3"/>
  <c r="C213" i="3"/>
  <c r="B213" i="3"/>
  <c r="E212" i="3"/>
  <c r="D212" i="3"/>
  <c r="C212" i="3"/>
  <c r="B212" i="3"/>
  <c r="E211" i="3"/>
  <c r="D211" i="3"/>
  <c r="C211" i="3"/>
  <c r="B211" i="3"/>
  <c r="E210" i="3"/>
  <c r="D210" i="3"/>
  <c r="C210" i="3"/>
  <c r="B210" i="3"/>
  <c r="E209" i="3"/>
  <c r="D209" i="3"/>
  <c r="C209" i="3"/>
  <c r="B209" i="3"/>
  <c r="E208" i="3"/>
  <c r="D208" i="3"/>
  <c r="C208" i="3"/>
  <c r="B208" i="3"/>
  <c r="E207" i="3"/>
  <c r="D207" i="3"/>
  <c r="C207" i="3"/>
  <c r="B207" i="3"/>
  <c r="E206" i="3"/>
  <c r="D206" i="3"/>
  <c r="C206" i="3"/>
  <c r="B206" i="3"/>
  <c r="E205" i="3"/>
  <c r="D205" i="3"/>
  <c r="C205" i="3"/>
  <c r="B205" i="3"/>
  <c r="F204" i="3"/>
  <c r="E204" i="3"/>
  <c r="D204" i="3"/>
  <c r="C204" i="3"/>
  <c r="B204" i="3"/>
  <c r="F203" i="3"/>
  <c r="E203" i="3"/>
  <c r="D203" i="3"/>
  <c r="C203" i="3"/>
  <c r="B203" i="3"/>
  <c r="F202" i="3"/>
  <c r="E202" i="3"/>
  <c r="D202" i="3"/>
  <c r="C202" i="3"/>
  <c r="B202" i="3"/>
  <c r="F201" i="3"/>
  <c r="E201" i="3"/>
  <c r="D201" i="3"/>
  <c r="C201" i="3"/>
  <c r="B201" i="3"/>
  <c r="E200" i="3"/>
  <c r="D200" i="3"/>
  <c r="C200" i="3"/>
  <c r="B200" i="3"/>
  <c r="E199" i="3"/>
  <c r="D199" i="3"/>
  <c r="C199" i="3"/>
  <c r="B199" i="3"/>
  <c r="E198" i="3"/>
  <c r="D198" i="3"/>
  <c r="C198" i="3"/>
  <c r="B198" i="3"/>
  <c r="E197" i="3"/>
  <c r="D197" i="3"/>
  <c r="C197" i="3"/>
  <c r="B197" i="3"/>
  <c r="E196" i="3"/>
  <c r="D196" i="3"/>
  <c r="C196" i="3"/>
  <c r="B196" i="3"/>
  <c r="E195" i="3"/>
  <c r="D195" i="3"/>
  <c r="C195" i="3"/>
  <c r="B195" i="3"/>
  <c r="F194" i="3"/>
  <c r="E194" i="3"/>
  <c r="D194" i="3"/>
  <c r="C194" i="3"/>
  <c r="B194" i="3"/>
  <c r="E193" i="3"/>
  <c r="D193" i="3"/>
  <c r="C193" i="3"/>
  <c r="B193" i="3"/>
  <c r="E192" i="3"/>
  <c r="D192" i="3"/>
  <c r="C192" i="3"/>
  <c r="B192" i="3"/>
  <c r="E191" i="3"/>
  <c r="D191" i="3"/>
  <c r="C191" i="3"/>
  <c r="B191" i="3"/>
  <c r="E190" i="3"/>
  <c r="D190" i="3"/>
  <c r="C190" i="3"/>
  <c r="B190" i="3"/>
  <c r="E189" i="3"/>
  <c r="D189" i="3"/>
  <c r="C189" i="3"/>
  <c r="B189" i="3"/>
  <c r="F188" i="3"/>
  <c r="E188" i="3"/>
  <c r="D188" i="3"/>
  <c r="C188" i="3"/>
  <c r="B188" i="3"/>
  <c r="F187" i="3"/>
  <c r="E187" i="3"/>
  <c r="D187" i="3"/>
  <c r="C187" i="3"/>
  <c r="B187" i="3"/>
  <c r="F186" i="3"/>
  <c r="E186" i="3"/>
  <c r="D186" i="3"/>
  <c r="C186" i="3"/>
  <c r="B186" i="3"/>
  <c r="F185" i="3"/>
  <c r="E185" i="3"/>
  <c r="D185" i="3"/>
  <c r="C185" i="3"/>
  <c r="B185" i="3"/>
  <c r="E184" i="3"/>
  <c r="D184" i="3"/>
  <c r="C184" i="3"/>
  <c r="B184" i="3"/>
  <c r="F183" i="3"/>
  <c r="E183" i="3"/>
  <c r="D183" i="3"/>
  <c r="C183" i="3"/>
  <c r="B183" i="3"/>
  <c r="F182" i="3"/>
  <c r="E182" i="3"/>
  <c r="D182" i="3"/>
  <c r="C182" i="3"/>
  <c r="B182" i="3"/>
  <c r="E181" i="3"/>
  <c r="D181" i="3"/>
  <c r="C181" i="3"/>
  <c r="B181" i="3"/>
  <c r="E180" i="3"/>
  <c r="D180" i="3"/>
  <c r="C180" i="3"/>
  <c r="B180" i="3"/>
  <c r="E179" i="3"/>
  <c r="D179" i="3"/>
  <c r="C179" i="3"/>
  <c r="B179" i="3"/>
  <c r="E178" i="3"/>
  <c r="D178" i="3"/>
  <c r="C178" i="3"/>
  <c r="B178" i="3"/>
  <c r="E177" i="3"/>
  <c r="D177" i="3"/>
  <c r="C177" i="3"/>
  <c r="B177" i="3"/>
  <c r="E176" i="3"/>
  <c r="D176" i="3"/>
  <c r="C176" i="3"/>
  <c r="B176" i="3"/>
  <c r="E175" i="3"/>
  <c r="D175" i="3"/>
  <c r="C175" i="3"/>
  <c r="B175" i="3"/>
  <c r="E174" i="3"/>
  <c r="D174" i="3"/>
  <c r="C174" i="3"/>
  <c r="B174" i="3"/>
  <c r="E173" i="3"/>
  <c r="D173" i="3"/>
  <c r="C173" i="3"/>
  <c r="B173" i="3"/>
  <c r="F172" i="3"/>
  <c r="E172" i="3"/>
  <c r="D172" i="3"/>
  <c r="C172" i="3"/>
  <c r="B172" i="3"/>
  <c r="E171" i="3"/>
  <c r="D171" i="3"/>
  <c r="C171" i="3"/>
  <c r="B171" i="3"/>
  <c r="E170" i="3"/>
  <c r="D170" i="3"/>
  <c r="C170" i="3"/>
  <c r="B170" i="3"/>
  <c r="E169" i="3"/>
  <c r="D169" i="3"/>
  <c r="C169" i="3"/>
  <c r="B169" i="3"/>
  <c r="E168" i="3"/>
  <c r="D168" i="3"/>
  <c r="C168" i="3"/>
  <c r="B168" i="3"/>
  <c r="E167" i="3"/>
  <c r="D167" i="3"/>
  <c r="C167" i="3"/>
  <c r="B167" i="3"/>
  <c r="E166" i="3"/>
  <c r="D166" i="3"/>
  <c r="C166" i="3"/>
  <c r="B166" i="3"/>
  <c r="E165" i="3"/>
  <c r="D165" i="3"/>
  <c r="C165" i="3"/>
  <c r="B165" i="3"/>
  <c r="E164" i="3"/>
  <c r="D164" i="3"/>
  <c r="C164" i="3"/>
  <c r="B164" i="3"/>
  <c r="E163" i="3"/>
  <c r="D163" i="3"/>
  <c r="C163" i="3"/>
  <c r="B163" i="3"/>
  <c r="E162" i="3"/>
  <c r="D162" i="3"/>
  <c r="C162" i="3"/>
  <c r="B162" i="3"/>
  <c r="E161" i="3"/>
  <c r="D161" i="3"/>
  <c r="C161" i="3"/>
  <c r="B161" i="3"/>
  <c r="E160" i="3"/>
  <c r="D160" i="3"/>
  <c r="C160" i="3"/>
  <c r="B160" i="3"/>
  <c r="E159" i="3"/>
  <c r="D159" i="3"/>
  <c r="C159" i="3"/>
  <c r="B159" i="3"/>
  <c r="E158" i="3"/>
  <c r="D158" i="3"/>
  <c r="C158" i="3"/>
  <c r="B158" i="3"/>
  <c r="E157" i="3"/>
  <c r="D157" i="3"/>
  <c r="C157" i="3"/>
  <c r="B157" i="3"/>
  <c r="F156" i="3"/>
  <c r="E156" i="3"/>
  <c r="D156" i="3"/>
  <c r="C156" i="3"/>
  <c r="B156" i="3"/>
  <c r="F155" i="3"/>
  <c r="E155" i="3"/>
  <c r="D155" i="3"/>
  <c r="C155" i="3"/>
  <c r="B155" i="3"/>
  <c r="F154" i="3"/>
  <c r="E154" i="3"/>
  <c r="D154" i="3"/>
  <c r="C154" i="3"/>
  <c r="B154" i="3"/>
  <c r="F153" i="3"/>
  <c r="E153" i="3"/>
  <c r="D153" i="3"/>
  <c r="C153" i="3"/>
  <c r="B153" i="3"/>
  <c r="E152" i="3"/>
  <c r="D152" i="3"/>
  <c r="C152" i="3"/>
  <c r="B152" i="3"/>
  <c r="F151" i="3"/>
  <c r="E151" i="3"/>
  <c r="D151" i="3"/>
  <c r="C151" i="3"/>
  <c r="B151" i="3"/>
  <c r="F150" i="3"/>
  <c r="E150" i="3"/>
  <c r="D150" i="3"/>
  <c r="C150" i="3"/>
  <c r="B150" i="3"/>
  <c r="E149" i="3"/>
  <c r="D149" i="3"/>
  <c r="C149" i="3"/>
  <c r="B149" i="3"/>
  <c r="E148" i="3"/>
  <c r="D148" i="3"/>
  <c r="C148" i="3"/>
  <c r="B148" i="3"/>
  <c r="F147" i="3"/>
  <c r="E147" i="3"/>
  <c r="D147" i="3"/>
  <c r="C147" i="3"/>
  <c r="B147" i="3"/>
  <c r="E146" i="3"/>
  <c r="D146" i="3"/>
  <c r="C146" i="3"/>
  <c r="B146" i="3"/>
  <c r="E145" i="3"/>
  <c r="D145" i="3"/>
  <c r="C145" i="3"/>
  <c r="B145" i="3"/>
  <c r="E144" i="3"/>
  <c r="D144" i="3"/>
  <c r="C144" i="3"/>
  <c r="B144" i="3"/>
  <c r="E143" i="3"/>
  <c r="D143" i="3"/>
  <c r="C143" i="3"/>
  <c r="B143" i="3"/>
  <c r="E142" i="3"/>
  <c r="D142" i="3"/>
  <c r="C142" i="3"/>
  <c r="B142" i="3"/>
  <c r="E141" i="3"/>
  <c r="D141" i="3"/>
  <c r="C141" i="3"/>
  <c r="B141" i="3"/>
  <c r="F140" i="3"/>
  <c r="E140" i="3"/>
  <c r="D140" i="3"/>
  <c r="C140" i="3"/>
  <c r="B140" i="3"/>
  <c r="F139" i="3"/>
  <c r="E139" i="3"/>
  <c r="D139" i="3"/>
  <c r="C139" i="3"/>
  <c r="B139" i="3"/>
  <c r="F138" i="3"/>
  <c r="E138" i="3"/>
  <c r="D138" i="3"/>
  <c r="C138" i="3"/>
  <c r="B138" i="3"/>
  <c r="F137"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F130" i="3"/>
  <c r="E130" i="3"/>
  <c r="D130" i="3"/>
  <c r="C130" i="3"/>
  <c r="B130" i="3"/>
  <c r="E129" i="3"/>
  <c r="D129" i="3"/>
  <c r="C129" i="3"/>
  <c r="B129" i="3"/>
  <c r="E128" i="3"/>
  <c r="D128" i="3"/>
  <c r="C128" i="3"/>
  <c r="B128" i="3"/>
  <c r="E127" i="3"/>
  <c r="D127" i="3"/>
  <c r="C127" i="3"/>
  <c r="B127" i="3"/>
  <c r="E126" i="3"/>
  <c r="D126" i="3"/>
  <c r="C126" i="3"/>
  <c r="B126" i="3"/>
  <c r="E125" i="3"/>
  <c r="D125" i="3"/>
  <c r="C125" i="3"/>
  <c r="B125" i="3"/>
  <c r="F124" i="3"/>
  <c r="E124" i="3"/>
  <c r="D124" i="3"/>
  <c r="C124" i="3"/>
  <c r="B124" i="3"/>
  <c r="E123" i="3"/>
  <c r="D123" i="3"/>
  <c r="C123" i="3"/>
  <c r="B123" i="3"/>
  <c r="E122" i="3"/>
  <c r="D122" i="3"/>
  <c r="C122" i="3"/>
  <c r="B122" i="3"/>
  <c r="E121" i="3"/>
  <c r="D121" i="3"/>
  <c r="C121" i="3"/>
  <c r="B121" i="3"/>
  <c r="E120" i="3"/>
  <c r="D120" i="3"/>
  <c r="C120" i="3"/>
  <c r="B120" i="3"/>
  <c r="E119" i="3"/>
  <c r="D119" i="3"/>
  <c r="C119" i="3"/>
  <c r="B119" i="3"/>
  <c r="E118" i="3"/>
  <c r="D118" i="3"/>
  <c r="C118" i="3"/>
  <c r="B118" i="3"/>
  <c r="E117" i="3"/>
  <c r="D117" i="3"/>
  <c r="C117" i="3"/>
  <c r="B117" i="3"/>
  <c r="E116" i="3"/>
  <c r="D116" i="3"/>
  <c r="C116" i="3"/>
  <c r="B116" i="3"/>
  <c r="E115" i="3"/>
  <c r="D115" i="3"/>
  <c r="C115" i="3"/>
  <c r="B115" i="3"/>
  <c r="E114" i="3"/>
  <c r="D114" i="3"/>
  <c r="C114" i="3"/>
  <c r="B114" i="3"/>
  <c r="E113" i="3"/>
  <c r="D113" i="3"/>
  <c r="C113" i="3"/>
  <c r="B113" i="3"/>
  <c r="F112" i="3"/>
  <c r="E112" i="3"/>
  <c r="D112" i="3"/>
  <c r="C112" i="3"/>
  <c r="B112" i="3"/>
  <c r="E111" i="3"/>
  <c r="D111" i="3"/>
  <c r="C111" i="3"/>
  <c r="B111" i="3"/>
  <c r="E110" i="3"/>
  <c r="D110" i="3"/>
  <c r="C110" i="3"/>
  <c r="B110" i="3"/>
  <c r="E109" i="3"/>
  <c r="D109" i="3"/>
  <c r="C109" i="3"/>
  <c r="B109" i="3"/>
  <c r="F108" i="3"/>
  <c r="E108" i="3"/>
  <c r="D108" i="3"/>
  <c r="C108" i="3"/>
  <c r="B108" i="3"/>
  <c r="F107" i="3"/>
  <c r="E107" i="3"/>
  <c r="D107" i="3"/>
  <c r="C107" i="3"/>
  <c r="B107" i="3"/>
  <c r="E106" i="3"/>
  <c r="D106" i="3"/>
  <c r="C106" i="3"/>
  <c r="B106" i="3"/>
  <c r="E105" i="3"/>
  <c r="D105" i="3"/>
  <c r="C105" i="3"/>
  <c r="B105" i="3"/>
  <c r="E104" i="3"/>
  <c r="D104" i="3"/>
  <c r="C104" i="3"/>
  <c r="B104" i="3"/>
  <c r="E103" i="3"/>
  <c r="D103" i="3"/>
  <c r="C103" i="3"/>
  <c r="B103" i="3"/>
  <c r="F102" i="3"/>
  <c r="E102" i="3"/>
  <c r="D102" i="3"/>
  <c r="C102" i="3"/>
  <c r="B102" i="3"/>
  <c r="E101" i="3"/>
  <c r="D101" i="3"/>
  <c r="C101" i="3"/>
  <c r="B101" i="3"/>
  <c r="E100" i="3"/>
  <c r="D100" i="3"/>
  <c r="C100" i="3"/>
  <c r="B100" i="3"/>
  <c r="E99" i="3"/>
  <c r="D99" i="3"/>
  <c r="C99" i="3"/>
  <c r="B99" i="3"/>
  <c r="F98" i="3"/>
  <c r="E98" i="3"/>
  <c r="D98" i="3"/>
  <c r="C98" i="3"/>
  <c r="B98" i="3"/>
  <c r="E97" i="3"/>
  <c r="D97" i="3"/>
  <c r="C97" i="3"/>
  <c r="B97" i="3"/>
  <c r="E96" i="3"/>
  <c r="D96" i="3"/>
  <c r="C96" i="3"/>
  <c r="B96" i="3"/>
  <c r="E95" i="3"/>
  <c r="D95" i="3"/>
  <c r="C95" i="3"/>
  <c r="B95" i="3"/>
  <c r="E94" i="3"/>
  <c r="D94" i="3"/>
  <c r="C94" i="3"/>
  <c r="B94" i="3"/>
  <c r="E93" i="3"/>
  <c r="D93" i="3"/>
  <c r="C93" i="3"/>
  <c r="B93" i="3"/>
  <c r="F92" i="3"/>
  <c r="E92" i="3"/>
  <c r="D92" i="3"/>
  <c r="C92" i="3"/>
  <c r="B92" i="3"/>
  <c r="F91" i="3"/>
  <c r="E91" i="3"/>
  <c r="D91" i="3"/>
  <c r="C91" i="3"/>
  <c r="B91" i="3"/>
  <c r="E90" i="3"/>
  <c r="D90" i="3"/>
  <c r="C90" i="3"/>
  <c r="B90" i="3"/>
  <c r="E89" i="3"/>
  <c r="D89" i="3"/>
  <c r="C89" i="3"/>
  <c r="B89" i="3"/>
  <c r="E88" i="3"/>
  <c r="D88" i="3"/>
  <c r="C88" i="3"/>
  <c r="B88" i="3"/>
  <c r="E87" i="3"/>
  <c r="D87" i="3"/>
  <c r="C87" i="3"/>
  <c r="B87" i="3"/>
  <c r="E86" i="3"/>
  <c r="D86" i="3"/>
  <c r="C86" i="3"/>
  <c r="B86" i="3"/>
  <c r="E85" i="3"/>
  <c r="D85" i="3"/>
  <c r="C85" i="3"/>
  <c r="B85" i="3"/>
  <c r="E84" i="3"/>
  <c r="D84" i="3"/>
  <c r="C84" i="3"/>
  <c r="B84" i="3"/>
  <c r="E83" i="3"/>
  <c r="D83" i="3"/>
  <c r="C83" i="3"/>
  <c r="B83" i="3"/>
  <c r="F82" i="3"/>
  <c r="E82" i="3"/>
  <c r="D82" i="3"/>
  <c r="C82" i="3"/>
  <c r="B82" i="3"/>
  <c r="E81" i="3"/>
  <c r="D81" i="3"/>
  <c r="C81" i="3"/>
  <c r="B81" i="3"/>
  <c r="F80" i="3"/>
  <c r="E80" i="3"/>
  <c r="D80" i="3"/>
  <c r="C80" i="3"/>
  <c r="B80" i="3"/>
  <c r="E79" i="3"/>
  <c r="D79" i="3"/>
  <c r="C79" i="3"/>
  <c r="B79" i="3"/>
  <c r="E78" i="3"/>
  <c r="D78" i="3"/>
  <c r="C78" i="3"/>
  <c r="B78" i="3"/>
  <c r="E77" i="3"/>
  <c r="D77" i="3"/>
  <c r="C77" i="3"/>
  <c r="B77" i="3"/>
  <c r="F76" i="3"/>
  <c r="E76" i="3"/>
  <c r="D76" i="3"/>
  <c r="C76" i="3"/>
  <c r="B76" i="3"/>
  <c r="F75" i="3"/>
  <c r="E75" i="3"/>
  <c r="D75" i="3"/>
  <c r="C75" i="3"/>
  <c r="B75" i="3"/>
  <c r="F74" i="3"/>
  <c r="E74" i="3"/>
  <c r="D74" i="3"/>
  <c r="C74" i="3"/>
  <c r="B74" i="3"/>
  <c r="F73" i="3"/>
  <c r="E73" i="3"/>
  <c r="D73" i="3"/>
  <c r="C73" i="3"/>
  <c r="B73" i="3"/>
  <c r="E72" i="3"/>
  <c r="D72" i="3"/>
  <c r="C72" i="3"/>
  <c r="B72" i="3"/>
  <c r="F71" i="3"/>
  <c r="E71" i="3"/>
  <c r="D71" i="3"/>
  <c r="C71" i="3"/>
  <c r="B71" i="3"/>
  <c r="F70" i="3"/>
  <c r="E70" i="3"/>
  <c r="D70" i="3"/>
  <c r="C70" i="3"/>
  <c r="B70" i="3"/>
  <c r="E69" i="3"/>
  <c r="D69" i="3"/>
  <c r="C69" i="3"/>
  <c r="B69" i="3"/>
  <c r="E68" i="3"/>
  <c r="D68" i="3"/>
  <c r="C68" i="3"/>
  <c r="B68" i="3"/>
  <c r="F67" i="3"/>
  <c r="E67" i="3"/>
  <c r="D67" i="3"/>
  <c r="C67" i="3"/>
  <c r="B67" i="3"/>
  <c r="F66" i="3"/>
  <c r="E66" i="3"/>
  <c r="D66" i="3"/>
  <c r="C66" i="3"/>
  <c r="B66" i="3"/>
  <c r="E65" i="3"/>
  <c r="D65" i="3"/>
  <c r="C65" i="3"/>
  <c r="B65" i="3"/>
  <c r="E64" i="3"/>
  <c r="D64" i="3"/>
  <c r="C64" i="3"/>
  <c r="B64" i="3"/>
  <c r="E63" i="3"/>
  <c r="D63" i="3"/>
  <c r="C63" i="3"/>
  <c r="B63" i="3"/>
  <c r="E62" i="3"/>
  <c r="D62" i="3"/>
  <c r="C62" i="3"/>
  <c r="B62" i="3"/>
  <c r="E61" i="3"/>
  <c r="D61" i="3"/>
  <c r="C61" i="3"/>
  <c r="B61" i="3"/>
  <c r="F60" i="3"/>
  <c r="E60" i="3"/>
  <c r="D60" i="3"/>
  <c r="C60" i="3"/>
  <c r="B60" i="3"/>
  <c r="E59" i="3"/>
  <c r="D59" i="3"/>
  <c r="C59" i="3"/>
  <c r="B59" i="3"/>
  <c r="E58" i="3"/>
  <c r="D58" i="3"/>
  <c r="C58" i="3"/>
  <c r="B58" i="3"/>
  <c r="F57" i="3"/>
  <c r="E57" i="3"/>
  <c r="D57" i="3"/>
  <c r="C57" i="3"/>
  <c r="B57" i="3"/>
  <c r="E56" i="3"/>
  <c r="D56" i="3"/>
  <c r="C56" i="3"/>
  <c r="B56" i="3"/>
  <c r="E55" i="3"/>
  <c r="D55" i="3"/>
  <c r="C55" i="3"/>
  <c r="B55" i="3"/>
  <c r="F54" i="3"/>
  <c r="E54" i="3"/>
  <c r="D54" i="3"/>
  <c r="C54" i="3"/>
  <c r="B54" i="3"/>
  <c r="E53" i="3"/>
  <c r="D53" i="3"/>
  <c r="C53" i="3"/>
  <c r="B53" i="3"/>
  <c r="E52" i="3"/>
  <c r="D52" i="3"/>
  <c r="C52" i="3"/>
  <c r="B52" i="3"/>
  <c r="E51" i="3"/>
  <c r="D51" i="3"/>
  <c r="C51" i="3"/>
  <c r="B51" i="3"/>
  <c r="F50" i="3"/>
  <c r="E50" i="3"/>
  <c r="D50" i="3"/>
  <c r="C50" i="3"/>
  <c r="B50" i="3"/>
  <c r="E49" i="3"/>
  <c r="D49" i="3"/>
  <c r="C49" i="3"/>
  <c r="B49" i="3"/>
  <c r="E48" i="3"/>
  <c r="D48" i="3"/>
  <c r="C48" i="3"/>
  <c r="B48" i="3"/>
  <c r="E47" i="3"/>
  <c r="D47" i="3"/>
  <c r="C47" i="3"/>
  <c r="B47" i="3"/>
  <c r="E46" i="3"/>
  <c r="D46" i="3"/>
  <c r="C46" i="3"/>
  <c r="B46" i="3"/>
  <c r="E45" i="3"/>
  <c r="D45" i="3"/>
  <c r="C45" i="3"/>
  <c r="B45" i="3"/>
  <c r="F44" i="3"/>
  <c r="E44" i="3"/>
  <c r="D44" i="3"/>
  <c r="C44" i="3"/>
  <c r="B44" i="3"/>
  <c r="F43"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F28" i="3"/>
  <c r="E28" i="3"/>
  <c r="D28" i="3"/>
  <c r="C28" i="3"/>
  <c r="B28" i="3"/>
  <c r="E27" i="3"/>
  <c r="D27" i="3"/>
  <c r="C27" i="3"/>
  <c r="B27" i="3"/>
  <c r="F26" i="3"/>
  <c r="E26" i="3"/>
  <c r="D26" i="3"/>
  <c r="C26" i="3"/>
  <c r="B26" i="3"/>
  <c r="E25" i="3"/>
  <c r="D25" i="3"/>
  <c r="C25" i="3"/>
  <c r="B25" i="3"/>
  <c r="E24" i="3"/>
  <c r="D24" i="3"/>
  <c r="C24" i="3"/>
  <c r="B24" i="3"/>
  <c r="E23" i="3"/>
  <c r="D23" i="3"/>
  <c r="C23" i="3"/>
  <c r="B23" i="3"/>
  <c r="F22" i="3"/>
  <c r="E22" i="3"/>
  <c r="D22" i="3"/>
  <c r="C22" i="3"/>
  <c r="B22" i="3"/>
  <c r="E21" i="3"/>
  <c r="D21" i="3"/>
  <c r="C21" i="3"/>
  <c r="B21" i="3"/>
  <c r="E20" i="3"/>
  <c r="D20" i="3"/>
  <c r="C20" i="3"/>
  <c r="B20" i="3"/>
  <c r="E19" i="3"/>
  <c r="D19" i="3"/>
  <c r="C19" i="3"/>
  <c r="B19" i="3"/>
  <c r="F18" i="3"/>
  <c r="E18" i="3"/>
  <c r="D18" i="3"/>
  <c r="C18" i="3"/>
  <c r="B18" i="3"/>
  <c r="E17" i="3"/>
  <c r="D17" i="3"/>
  <c r="C17" i="3"/>
  <c r="B17" i="3"/>
  <c r="F16" i="3"/>
  <c r="E16" i="3"/>
  <c r="D16" i="3"/>
  <c r="C16" i="3"/>
  <c r="B16" i="3"/>
  <c r="F15" i="3"/>
  <c r="E15" i="3"/>
  <c r="D15" i="3"/>
  <c r="C15" i="3"/>
  <c r="B15" i="3"/>
  <c r="E14" i="3"/>
  <c r="D14" i="3"/>
  <c r="C14" i="3"/>
  <c r="B14" i="3"/>
  <c r="E13" i="3"/>
  <c r="D13" i="3"/>
  <c r="C13" i="3"/>
  <c r="B13" i="3"/>
  <c r="F12" i="3"/>
  <c r="E12" i="3"/>
  <c r="D12" i="3"/>
  <c r="C12" i="3"/>
  <c r="B12" i="3"/>
  <c r="E11" i="3"/>
  <c r="D11" i="3"/>
  <c r="C11" i="3"/>
  <c r="B11" i="3"/>
  <c r="E10" i="3"/>
  <c r="D10" i="3"/>
  <c r="C10" i="3"/>
  <c r="B10" i="3"/>
  <c r="F9" i="3"/>
  <c r="E9" i="3"/>
  <c r="D9" i="3"/>
  <c r="C9" i="3"/>
  <c r="B9" i="3"/>
  <c r="E8" i="3"/>
  <c r="D8" i="3"/>
  <c r="C8" i="3"/>
  <c r="B8" i="3"/>
  <c r="E7" i="3"/>
  <c r="D7" i="3"/>
  <c r="C7" i="3"/>
  <c r="B7" i="3"/>
  <c r="F6" i="3"/>
  <c r="E6" i="3"/>
  <c r="D6" i="3"/>
  <c r="C6" i="3"/>
  <c r="B6" i="3"/>
  <c r="E5" i="3"/>
  <c r="D5" i="3"/>
  <c r="C5" i="3"/>
  <c r="B5" i="3"/>
  <c r="E4" i="3"/>
  <c r="D4" i="3"/>
  <c r="C4" i="3"/>
  <c r="B4" i="3"/>
  <c r="I156" i="2"/>
  <c r="G156" i="2"/>
  <c r="F714" i="3" s="1"/>
  <c r="I155" i="2"/>
  <c r="G155" i="2"/>
  <c r="F707" i="3" s="1"/>
  <c r="I154" i="2"/>
  <c r="G154" i="2"/>
  <c r="F704" i="3" s="1"/>
  <c r="I153" i="2"/>
  <c r="G153" i="2"/>
  <c r="F698" i="3" s="1"/>
  <c r="I152" i="2"/>
  <c r="G152" i="2"/>
  <c r="F694" i="3" s="1"/>
  <c r="I151" i="2"/>
  <c r="G151" i="2"/>
  <c r="F691" i="3" s="1"/>
  <c r="I150" i="2"/>
  <c r="G150" i="2"/>
  <c r="F688" i="3" s="1"/>
  <c r="I149" i="2"/>
  <c r="G149" i="2"/>
  <c r="F682" i="3" s="1"/>
  <c r="I148" i="2"/>
  <c r="G148" i="2"/>
  <c r="F678" i="3" s="1"/>
  <c r="I147" i="2"/>
  <c r="G147" i="2"/>
  <c r="F672" i="3" s="1"/>
  <c r="I146" i="2"/>
  <c r="G146" i="2"/>
  <c r="F669" i="3" s="1"/>
  <c r="I145" i="2"/>
  <c r="G145" i="2"/>
  <c r="F666" i="3" s="1"/>
  <c r="I144" i="2"/>
  <c r="G144" i="2"/>
  <c r="F659" i="3" s="1"/>
  <c r="I143" i="2"/>
  <c r="G143" i="2"/>
  <c r="F653" i="3" s="1"/>
  <c r="I142" i="2"/>
  <c r="G142" i="2"/>
  <c r="F650" i="3" s="1"/>
  <c r="I141" i="2"/>
  <c r="G141" i="2"/>
  <c r="F646" i="3" s="1"/>
  <c r="I140" i="2"/>
  <c r="G140" i="2"/>
  <c r="F643" i="3" s="1"/>
  <c r="I139" i="2"/>
  <c r="G139" i="2"/>
  <c r="F637" i="3" s="1"/>
  <c r="I138" i="2"/>
  <c r="G138" i="2"/>
  <c r="F634" i="3" s="1"/>
  <c r="I137" i="2"/>
  <c r="G137" i="2"/>
  <c r="F627" i="3" s="1"/>
  <c r="I136" i="2"/>
  <c r="G136" i="2"/>
  <c r="F621" i="3" s="1"/>
  <c r="I135" i="2"/>
  <c r="G135" i="2"/>
  <c r="F617" i="3" s="1"/>
  <c r="I134" i="2"/>
  <c r="G134" i="2"/>
  <c r="F611" i="3" s="1"/>
  <c r="I133" i="2"/>
  <c r="G133" i="2"/>
  <c r="F605" i="3" s="1"/>
  <c r="I132" i="2"/>
  <c r="G132" i="2"/>
  <c r="F602" i="3" s="1"/>
  <c r="I131" i="2"/>
  <c r="G131" i="2"/>
  <c r="F595" i="3" s="1"/>
  <c r="I130" i="2"/>
  <c r="G130" i="2"/>
  <c r="F586" i="3" s="1"/>
  <c r="I129" i="2"/>
  <c r="G129" i="2"/>
  <c r="F582" i="3" s="1"/>
  <c r="I128" i="2"/>
  <c r="G128" i="2"/>
  <c r="F579" i="3" s="1"/>
  <c r="I127" i="2"/>
  <c r="G127" i="2"/>
  <c r="F576" i="3" s="1"/>
  <c r="I126" i="2"/>
  <c r="G126" i="2"/>
  <c r="F573" i="3" s="1"/>
  <c r="I125" i="2"/>
  <c r="G125" i="2"/>
  <c r="F569" i="3" s="1"/>
  <c r="I124" i="2"/>
  <c r="G124" i="2"/>
  <c r="F566" i="3" s="1"/>
  <c r="I123" i="2"/>
  <c r="G123" i="2"/>
  <c r="F565" i="3" s="1"/>
  <c r="I122" i="2"/>
  <c r="G122" i="2"/>
  <c r="F563" i="3" s="1"/>
  <c r="I121" i="2"/>
  <c r="G121" i="2"/>
  <c r="F560" i="3" s="1"/>
  <c r="I120" i="2"/>
  <c r="G120" i="2"/>
  <c r="F557" i="3" s="1"/>
  <c r="I119" i="2"/>
  <c r="G119" i="2"/>
  <c r="I118" i="2"/>
  <c r="G118" i="2"/>
  <c r="F553" i="3" s="1"/>
  <c r="I117" i="2"/>
  <c r="G117" i="2"/>
  <c r="F550" i="3" s="1"/>
  <c r="I116" i="2"/>
  <c r="G116" i="2"/>
  <c r="F547" i="3" s="1"/>
  <c r="I115" i="2"/>
  <c r="G115" i="2"/>
  <c r="F541" i="3" s="1"/>
  <c r="I114" i="2"/>
  <c r="G114" i="2"/>
  <c r="F537" i="3" s="1"/>
  <c r="I113" i="2"/>
  <c r="G113" i="2"/>
  <c r="F536" i="3" s="1"/>
  <c r="I112" i="2"/>
  <c r="G112" i="2"/>
  <c r="F531" i="3" s="1"/>
  <c r="I111" i="2"/>
  <c r="G111" i="2"/>
  <c r="F529" i="3" s="1"/>
  <c r="I110" i="2"/>
  <c r="G110" i="2"/>
  <c r="F528" i="3" s="1"/>
  <c r="I109" i="2"/>
  <c r="G109" i="2"/>
  <c r="F525" i="3" s="1"/>
  <c r="I108" i="2"/>
  <c r="G108" i="2"/>
  <c r="F521" i="3" s="1"/>
  <c r="I107" i="2"/>
  <c r="G107" i="2"/>
  <c r="F520" i="3" s="1"/>
  <c r="I106" i="2"/>
  <c r="G106" i="2"/>
  <c r="F518" i="3" s="1"/>
  <c r="I105" i="2"/>
  <c r="G105" i="2"/>
  <c r="F515" i="3" s="1"/>
  <c r="I104" i="2"/>
  <c r="G104" i="2"/>
  <c r="F509" i="3" s="1"/>
  <c r="I103" i="2"/>
  <c r="G103" i="2"/>
  <c r="F504" i="3" s="1"/>
  <c r="I102" i="2"/>
  <c r="G102" i="2"/>
  <c r="F493" i="3" s="1"/>
  <c r="I101" i="2"/>
  <c r="G101" i="2"/>
  <c r="F477" i="3" s="1"/>
  <c r="I100" i="2"/>
  <c r="G100" i="2"/>
  <c r="F461" i="3" s="1"/>
  <c r="I99" i="2"/>
  <c r="G99" i="2"/>
  <c r="F454" i="3" s="1"/>
  <c r="I98" i="2"/>
  <c r="G98" i="2"/>
  <c r="F448" i="3" s="1"/>
  <c r="I97" i="2"/>
  <c r="G97" i="2"/>
  <c r="F445" i="3" s="1"/>
  <c r="I96" i="2"/>
  <c r="G96" i="2"/>
  <c r="F413" i="3" s="1"/>
  <c r="I95" i="2"/>
  <c r="G95" i="2"/>
  <c r="F403" i="3" s="1"/>
  <c r="I94" i="2"/>
  <c r="G94" i="2"/>
  <c r="F400" i="3" s="1"/>
  <c r="I93" i="2"/>
  <c r="G93" i="2"/>
  <c r="F397" i="3" s="1"/>
  <c r="I92" i="2"/>
  <c r="G92" i="2"/>
  <c r="F390" i="3" s="1"/>
  <c r="I91" i="2"/>
  <c r="G91" i="2"/>
  <c r="F387" i="3" s="1"/>
  <c r="I90" i="2"/>
  <c r="G90" i="2"/>
  <c r="F384" i="3" s="1"/>
  <c r="I89" i="2"/>
  <c r="G89" i="2"/>
  <c r="F381" i="3" s="1"/>
  <c r="I88" i="2"/>
  <c r="G88" i="2"/>
  <c r="F373" i="3" s="1"/>
  <c r="I87" i="2"/>
  <c r="G87" i="2"/>
  <c r="F371" i="3" s="1"/>
  <c r="I86" i="2"/>
  <c r="G86" i="2"/>
  <c r="F365" i="3" s="1"/>
  <c r="I85" i="2"/>
  <c r="G85" i="2"/>
  <c r="F358" i="3" s="1"/>
  <c r="I84" i="2"/>
  <c r="G84" i="2"/>
  <c r="F352" i="3" s="1"/>
  <c r="I83" i="2"/>
  <c r="G83" i="2"/>
  <c r="F349" i="3" s="1"/>
  <c r="I82" i="2"/>
  <c r="G82" i="2"/>
  <c r="F345" i="3" s="1"/>
  <c r="I81" i="2"/>
  <c r="G81" i="2"/>
  <c r="F336" i="3" s="1"/>
  <c r="I80" i="2"/>
  <c r="G80" i="2"/>
  <c r="F333" i="3" s="1"/>
  <c r="I79" i="2"/>
  <c r="G79" i="2"/>
  <c r="F325" i="3" s="1"/>
  <c r="I78" i="2"/>
  <c r="G78" i="2"/>
  <c r="F320" i="3" s="1"/>
  <c r="I77" i="2"/>
  <c r="G77" i="2"/>
  <c r="F317" i="3" s="1"/>
  <c r="I76" i="2"/>
  <c r="G76" i="2"/>
  <c r="F307" i="3" s="1"/>
  <c r="I75" i="2"/>
  <c r="G75" i="2"/>
  <c r="F304" i="3" s="1"/>
  <c r="I74" i="2"/>
  <c r="G74" i="2"/>
  <c r="F301" i="3" s="1"/>
  <c r="I73" i="2"/>
  <c r="G73" i="2"/>
  <c r="F296" i="3" s="1"/>
  <c r="I72" i="2"/>
  <c r="G72" i="2"/>
  <c r="F293" i="3" s="1"/>
  <c r="I71" i="2"/>
  <c r="G71" i="2"/>
  <c r="F291" i="3" s="1"/>
  <c r="I70" i="2"/>
  <c r="G70" i="2"/>
  <c r="F288" i="3" s="1"/>
  <c r="I69" i="2"/>
  <c r="G69" i="2"/>
  <c r="F285" i="3" s="1"/>
  <c r="I68" i="2"/>
  <c r="G68" i="2"/>
  <c r="F280" i="3" s="1"/>
  <c r="I67" i="2"/>
  <c r="G67" i="2"/>
  <c r="F278" i="3" s="1"/>
  <c r="I66" i="2"/>
  <c r="G66" i="2"/>
  <c r="F275" i="3" s="1"/>
  <c r="I65" i="2"/>
  <c r="G65" i="2"/>
  <c r="F272" i="3" s="1"/>
  <c r="I64" i="2"/>
  <c r="G64" i="2"/>
  <c r="F269" i="3" s="1"/>
  <c r="I63" i="2"/>
  <c r="G63" i="2"/>
  <c r="F264" i="3" s="1"/>
  <c r="I62" i="2"/>
  <c r="G62" i="2"/>
  <c r="F262" i="3" s="1"/>
  <c r="I61" i="2"/>
  <c r="G61" i="2"/>
  <c r="F259" i="3" s="1"/>
  <c r="I60" i="2"/>
  <c r="G60" i="2"/>
  <c r="F256" i="3" s="1"/>
  <c r="I59" i="2"/>
  <c r="G59" i="2"/>
  <c r="F253" i="3" s="1"/>
  <c r="I58" i="2"/>
  <c r="G58" i="2"/>
  <c r="F251" i="3" s="1"/>
  <c r="I57" i="2"/>
  <c r="G57" i="2"/>
  <c r="F248" i="3" s="1"/>
  <c r="I56" i="2"/>
  <c r="G56" i="2"/>
  <c r="F245" i="3" s="1"/>
  <c r="I55" i="2"/>
  <c r="G55" i="2"/>
  <c r="F241" i="3" s="1"/>
  <c r="I54" i="2"/>
  <c r="G54" i="2"/>
  <c r="F240" i="3" s="1"/>
  <c r="I53" i="2"/>
  <c r="G53" i="2"/>
  <c r="F237" i="3" s="1"/>
  <c r="I52" i="2"/>
  <c r="G52" i="2"/>
  <c r="I51" i="2"/>
  <c r="G51" i="2"/>
  <c r="F230" i="3" s="1"/>
  <c r="I50" i="2"/>
  <c r="G50" i="2"/>
  <c r="F227" i="3" s="1"/>
  <c r="I49" i="2"/>
  <c r="G49" i="2"/>
  <c r="F224" i="3" s="1"/>
  <c r="I48" i="2"/>
  <c r="G48" i="2"/>
  <c r="F221" i="3" s="1"/>
  <c r="I47" i="2"/>
  <c r="G47" i="2"/>
  <c r="F213" i="3" s="1"/>
  <c r="I46" i="2"/>
  <c r="G46" i="2"/>
  <c r="F211" i="3" s="1"/>
  <c r="I45" i="2"/>
  <c r="G45" i="2"/>
  <c r="F205" i="3" s="1"/>
  <c r="I44" i="2"/>
  <c r="G44" i="2"/>
  <c r="I43" i="2"/>
  <c r="G43" i="2"/>
  <c r="F198" i="3" s="1"/>
  <c r="I42" i="2"/>
  <c r="G42" i="2"/>
  <c r="F195" i="3" s="1"/>
  <c r="I41" i="2"/>
  <c r="G41" i="2"/>
  <c r="F192" i="3" s="1"/>
  <c r="I40" i="2"/>
  <c r="G40" i="2"/>
  <c r="F189" i="3" s="1"/>
  <c r="I39" i="2"/>
  <c r="G39" i="2"/>
  <c r="F184" i="3" s="1"/>
  <c r="I38" i="2"/>
  <c r="G38" i="2"/>
  <c r="F179" i="3" s="1"/>
  <c r="I37" i="2"/>
  <c r="G37" i="2"/>
  <c r="F176" i="3" s="1"/>
  <c r="I36" i="2"/>
  <c r="G36" i="2"/>
  <c r="F173" i="3" s="1"/>
  <c r="I35" i="2"/>
  <c r="G35" i="2"/>
  <c r="F169" i="3" s="1"/>
  <c r="I34" i="2"/>
  <c r="G34" i="2"/>
  <c r="F163" i="3" s="1"/>
  <c r="I33" i="2"/>
  <c r="G33" i="2"/>
  <c r="F157" i="3" s="1"/>
  <c r="I32" i="2"/>
  <c r="G32" i="2"/>
  <c r="F152" i="3" s="1"/>
  <c r="I31" i="2"/>
  <c r="G31" i="2"/>
  <c r="F149" i="3" s="1"/>
  <c r="I30" i="2"/>
  <c r="G30" i="2"/>
  <c r="F144" i="3" s="1"/>
  <c r="I29" i="2"/>
  <c r="G29" i="2"/>
  <c r="F141" i="3" s="1"/>
  <c r="I28" i="2"/>
  <c r="G28" i="2"/>
  <c r="F131" i="3" s="1"/>
  <c r="I27" i="2"/>
  <c r="G27" i="2"/>
  <c r="F128" i="3" s="1"/>
  <c r="I26" i="2"/>
  <c r="G26" i="2"/>
  <c r="F125" i="3" s="1"/>
  <c r="I25" i="2"/>
  <c r="G25" i="2"/>
  <c r="F113" i="3" s="1"/>
  <c r="I24" i="2"/>
  <c r="G24" i="2"/>
  <c r="F109" i="3" s="1"/>
  <c r="I23" i="2"/>
  <c r="G23" i="2"/>
  <c r="I22" i="2"/>
  <c r="G22" i="2"/>
  <c r="F105" i="3" s="1"/>
  <c r="I21" i="2"/>
  <c r="G21" i="2"/>
  <c r="F99" i="3" s="1"/>
  <c r="I20" i="2"/>
  <c r="G20" i="2"/>
  <c r="F93" i="3" s="1"/>
  <c r="I19" i="2"/>
  <c r="G19" i="2"/>
  <c r="F86" i="3" s="1"/>
  <c r="I18" i="2"/>
  <c r="G18" i="2"/>
  <c r="F85" i="3" s="1"/>
  <c r="I17" i="2"/>
  <c r="G17" i="2"/>
  <c r="F83" i="3" s="1"/>
  <c r="I16" i="2"/>
  <c r="G16" i="2"/>
  <c r="F77" i="3" s="1"/>
  <c r="I15" i="2"/>
  <c r="G15" i="2"/>
  <c r="F69" i="3" s="1"/>
  <c r="I14" i="2"/>
  <c r="G14" i="2"/>
  <c r="F61" i="3" s="1"/>
  <c r="I13" i="2"/>
  <c r="G13" i="2"/>
  <c r="F53" i="3" s="1"/>
  <c r="I12" i="2"/>
  <c r="G12" i="2"/>
  <c r="F45" i="3" s="1"/>
  <c r="I11" i="2"/>
  <c r="G11" i="2"/>
  <c r="F32" i="3" s="1"/>
  <c r="I10" i="2"/>
  <c r="G10" i="2"/>
  <c r="F29" i="3" s="1"/>
  <c r="I9" i="2"/>
  <c r="G9" i="2"/>
  <c r="F19" i="3" s="1"/>
  <c r="I8" i="2"/>
  <c r="G8" i="2"/>
  <c r="I7" i="2"/>
  <c r="G7" i="2"/>
  <c r="F17" i="3" s="1"/>
  <c r="I6" i="2"/>
  <c r="G6" i="2"/>
  <c r="F13" i="3" s="1"/>
  <c r="I5" i="2"/>
  <c r="G5" i="2"/>
  <c r="F5" i="3" s="1"/>
  <c r="D11" i="1"/>
  <c r="D12" i="1" s="1"/>
  <c r="E10" i="1"/>
  <c r="D10" i="1"/>
  <c r="E9" i="1"/>
  <c r="D9" i="1"/>
  <c r="E8" i="1"/>
  <c r="D8" i="1"/>
  <c r="E7" i="1"/>
  <c r="D7" i="1"/>
  <c r="E6" i="1"/>
  <c r="D6" i="1"/>
  <c r="E5" i="1"/>
  <c r="D5" i="1"/>
  <c r="E11" i="1" l="1"/>
  <c r="E12" i="1" s="1"/>
  <c r="F10" i="3"/>
  <c r="F106" i="3"/>
  <c r="F170" i="3"/>
  <c r="F490" i="3"/>
  <c r="F7" i="3"/>
  <c r="F39" i="3"/>
  <c r="F55" i="3"/>
  <c r="F87" i="3"/>
  <c r="F103" i="3"/>
  <c r="F119" i="3"/>
  <c r="F135" i="3"/>
  <c r="F167" i="3"/>
  <c r="F199" i="3"/>
  <c r="F231" i="3"/>
  <c r="F247" i="3"/>
  <c r="F263" i="3"/>
  <c r="F279" i="3"/>
  <c r="F295" i="3"/>
  <c r="F311" i="3"/>
  <c r="F343" i="3"/>
  <c r="F359" i="3"/>
  <c r="F375" i="3"/>
  <c r="F391" i="3"/>
  <c r="F423" i="3"/>
  <c r="F439" i="3"/>
  <c r="F455" i="3"/>
  <c r="F471" i="3"/>
  <c r="F487" i="3"/>
  <c r="F503" i="3"/>
  <c r="F519" i="3"/>
  <c r="F535" i="3"/>
  <c r="F551" i="3"/>
  <c r="F567" i="3"/>
  <c r="F583" i="3"/>
  <c r="F599" i="3"/>
  <c r="F615" i="3"/>
  <c r="F631" i="3"/>
  <c r="F647" i="3"/>
  <c r="F663" i="3"/>
  <c r="F679" i="3"/>
  <c r="F695" i="3"/>
  <c r="F711" i="3"/>
  <c r="F538" i="3"/>
  <c r="F23" i="3"/>
  <c r="F4" i="3"/>
  <c r="F20" i="3"/>
  <c r="F36" i="3"/>
  <c r="F52" i="3"/>
  <c r="F68" i="3"/>
  <c r="F84" i="3"/>
  <c r="F100" i="3"/>
  <c r="F116" i="3"/>
  <c r="F132" i="3"/>
  <c r="F148" i="3"/>
  <c r="F164" i="3"/>
  <c r="F180" i="3"/>
  <c r="F196" i="3"/>
  <c r="F212" i="3"/>
  <c r="F228" i="3"/>
  <c r="F244" i="3"/>
  <c r="F260" i="3"/>
  <c r="F276" i="3"/>
  <c r="F292" i="3"/>
  <c r="F308" i="3"/>
  <c r="F324" i="3"/>
  <c r="F340" i="3"/>
  <c r="F356" i="3"/>
  <c r="F372" i="3"/>
  <c r="F388" i="3"/>
  <c r="F404" i="3"/>
  <c r="F420" i="3"/>
  <c r="F436" i="3"/>
  <c r="F452" i="3"/>
  <c r="F468" i="3"/>
  <c r="F484" i="3"/>
  <c r="F500" i="3"/>
  <c r="F516" i="3"/>
  <c r="F532" i="3"/>
  <c r="F548" i="3"/>
  <c r="F564" i="3"/>
  <c r="F580" i="3"/>
  <c r="F596" i="3"/>
  <c r="F612" i="3"/>
  <c r="F628" i="3"/>
  <c r="F644" i="3"/>
  <c r="F660" i="3"/>
  <c r="F676" i="3"/>
  <c r="F692" i="3"/>
  <c r="F708" i="3"/>
  <c r="F42" i="3"/>
  <c r="F122" i="3"/>
  <c r="F346" i="3"/>
  <c r="F362" i="3"/>
  <c r="F33" i="3"/>
  <c r="F49" i="3"/>
  <c r="F65" i="3"/>
  <c r="F81" i="3"/>
  <c r="F97" i="3"/>
  <c r="F129" i="3"/>
  <c r="F145" i="3"/>
  <c r="F161" i="3"/>
  <c r="F177" i="3"/>
  <c r="F193" i="3"/>
  <c r="F209" i="3"/>
  <c r="F225" i="3"/>
  <c r="F257" i="3"/>
  <c r="F273" i="3"/>
  <c r="F289" i="3"/>
  <c r="F305" i="3"/>
  <c r="F321" i="3"/>
  <c r="F337" i="3"/>
  <c r="F353" i="3"/>
  <c r="F369" i="3"/>
  <c r="F385" i="3"/>
  <c r="F401" i="3"/>
  <c r="F417" i="3"/>
  <c r="F433" i="3"/>
  <c r="F449" i="3"/>
  <c r="F465" i="3"/>
  <c r="F481" i="3"/>
  <c r="F497" i="3"/>
  <c r="F513" i="3"/>
  <c r="F545" i="3"/>
  <c r="F561" i="3"/>
  <c r="F577" i="3"/>
  <c r="F593" i="3"/>
  <c r="F609" i="3"/>
  <c r="F625" i="3"/>
  <c r="F641" i="3"/>
  <c r="F657" i="3"/>
  <c r="F673" i="3"/>
  <c r="F689" i="3"/>
  <c r="F705" i="3"/>
  <c r="F58" i="3"/>
  <c r="F90" i="3"/>
  <c r="F14" i="3"/>
  <c r="F30" i="3"/>
  <c r="F46" i="3"/>
  <c r="F62" i="3"/>
  <c r="F78" i="3"/>
  <c r="F94" i="3"/>
  <c r="F110" i="3"/>
  <c r="F126" i="3"/>
  <c r="F142" i="3"/>
  <c r="F158" i="3"/>
  <c r="F174" i="3"/>
  <c r="F190" i="3"/>
  <c r="F206" i="3"/>
  <c r="F222" i="3"/>
  <c r="F238" i="3"/>
  <c r="F254" i="3"/>
  <c r="F270" i="3"/>
  <c r="F286" i="3"/>
  <c r="F302" i="3"/>
  <c r="F318" i="3"/>
  <c r="F334" i="3"/>
  <c r="F350" i="3"/>
  <c r="F366" i="3"/>
  <c r="F382" i="3"/>
  <c r="F398" i="3"/>
  <c r="F414" i="3"/>
  <c r="F430" i="3"/>
  <c r="F446" i="3"/>
  <c r="F462" i="3"/>
  <c r="F478" i="3"/>
  <c r="F494" i="3"/>
  <c r="F510" i="3"/>
  <c r="F526" i="3"/>
  <c r="F542" i="3"/>
  <c r="F558" i="3"/>
  <c r="F574" i="3"/>
  <c r="F590" i="3"/>
  <c r="F606" i="3"/>
  <c r="F622" i="3"/>
  <c r="F638" i="3"/>
  <c r="F654" i="3"/>
  <c r="F670" i="3"/>
  <c r="F686" i="3"/>
  <c r="F702" i="3"/>
  <c r="F59" i="3"/>
  <c r="F443" i="3"/>
  <c r="F459" i="3"/>
  <c r="F475" i="3"/>
  <c r="F491" i="3"/>
  <c r="F523" i="3"/>
  <c r="F539" i="3"/>
  <c r="F555" i="3"/>
  <c r="F571" i="3"/>
  <c r="F587" i="3"/>
  <c r="F603" i="3"/>
  <c r="F619" i="3"/>
  <c r="F635" i="3"/>
  <c r="F651" i="3"/>
  <c r="F667" i="3"/>
  <c r="F683" i="3"/>
  <c r="F699" i="3"/>
  <c r="F11" i="3"/>
  <c r="F27" i="3"/>
  <c r="F123" i="3"/>
  <c r="F171" i="3"/>
  <c r="F299" i="3"/>
  <c r="F347" i="3"/>
  <c r="F363" i="3"/>
  <c r="F8" i="3"/>
  <c r="F24" i="3"/>
  <c r="F40" i="3"/>
  <c r="F56" i="3"/>
  <c r="F72" i="3"/>
  <c r="F88" i="3"/>
  <c r="F104" i="3"/>
  <c r="F120" i="3"/>
  <c r="F136" i="3"/>
  <c r="F168" i="3"/>
  <c r="F200" i="3"/>
  <c r="F216" i="3"/>
  <c r="F232" i="3"/>
  <c r="F312" i="3"/>
  <c r="F328" i="3"/>
  <c r="F344" i="3"/>
  <c r="F360" i="3"/>
  <c r="F376" i="3"/>
  <c r="F392" i="3"/>
  <c r="F408" i="3"/>
  <c r="F424" i="3"/>
  <c r="F440" i="3"/>
  <c r="F456" i="3"/>
  <c r="F472" i="3"/>
  <c r="F488" i="3"/>
  <c r="F552" i="3"/>
  <c r="F568" i="3"/>
  <c r="F584" i="3"/>
  <c r="F600" i="3"/>
  <c r="F616" i="3"/>
  <c r="F632" i="3"/>
  <c r="F648" i="3"/>
  <c r="F664" i="3"/>
  <c r="F680" i="3"/>
  <c r="F696" i="3"/>
  <c r="F712" i="3"/>
  <c r="F21" i="3"/>
  <c r="F37" i="3"/>
  <c r="F101" i="3"/>
  <c r="F117" i="3"/>
  <c r="F133" i="3"/>
  <c r="F165" i="3"/>
  <c r="F181" i="3"/>
  <c r="F197" i="3"/>
  <c r="F229" i="3"/>
  <c r="F261" i="3"/>
  <c r="F277" i="3"/>
  <c r="F309" i="3"/>
  <c r="F341" i="3"/>
  <c r="F357" i="3"/>
  <c r="F389" i="3"/>
  <c r="F405" i="3"/>
  <c r="F421" i="3"/>
  <c r="F437" i="3"/>
  <c r="F453" i="3"/>
  <c r="F469" i="3"/>
  <c r="F485" i="3"/>
  <c r="F501" i="3"/>
  <c r="F517" i="3"/>
  <c r="F533" i="3"/>
  <c r="F549" i="3"/>
  <c r="F581" i="3"/>
  <c r="F597" i="3"/>
  <c r="F613" i="3"/>
  <c r="F629" i="3"/>
  <c r="F645" i="3"/>
  <c r="F661" i="3"/>
  <c r="F677" i="3"/>
  <c r="F693" i="3"/>
  <c r="F709" i="3"/>
  <c r="F34" i="3"/>
  <c r="F210" i="3"/>
  <c r="F450" i="3"/>
  <c r="F674" i="3"/>
  <c r="F706" i="3"/>
  <c r="F114" i="3"/>
  <c r="F146" i="3"/>
  <c r="F162" i="3"/>
  <c r="F178" i="3"/>
  <c r="F306" i="3"/>
  <c r="F322" i="3"/>
  <c r="F386" i="3"/>
  <c r="F402" i="3"/>
  <c r="F498" i="3"/>
  <c r="F546" i="3"/>
  <c r="F562" i="3"/>
  <c r="F594" i="3"/>
  <c r="F642" i="3"/>
  <c r="F31" i="3"/>
  <c r="F47" i="3"/>
  <c r="F63" i="3"/>
  <c r="F79" i="3"/>
  <c r="F95" i="3"/>
  <c r="F111" i="3"/>
  <c r="F127" i="3"/>
  <c r="F143" i="3"/>
  <c r="F159" i="3"/>
  <c r="F175" i="3"/>
  <c r="F191" i="3"/>
  <c r="F207" i="3"/>
  <c r="F223" i="3"/>
  <c r="F239" i="3"/>
  <c r="F255" i="3"/>
  <c r="F271" i="3"/>
  <c r="F287" i="3"/>
  <c r="F303" i="3"/>
  <c r="F319" i="3"/>
  <c r="F335" i="3"/>
  <c r="F351" i="3"/>
  <c r="F367" i="3"/>
  <c r="F383" i="3"/>
  <c r="F399" i="3"/>
  <c r="F415" i="3"/>
  <c r="F431" i="3"/>
  <c r="F447" i="3"/>
  <c r="F463" i="3"/>
  <c r="F479" i="3"/>
  <c r="F495" i="3"/>
  <c r="F511" i="3"/>
  <c r="F527" i="3"/>
  <c r="F543" i="3"/>
  <c r="F559" i="3"/>
  <c r="F575" i="3"/>
  <c r="F591" i="3"/>
  <c r="F607" i="3"/>
  <c r="F623" i="3"/>
  <c r="F639" i="3"/>
  <c r="F655" i="3"/>
  <c r="F671" i="3"/>
  <c r="F687" i="3"/>
  <c r="F703" i="3"/>
  <c r="F636" i="3"/>
  <c r="F652" i="3"/>
  <c r="F668" i="3"/>
  <c r="F684" i="3"/>
  <c r="F700" i="3"/>
  <c r="F348" i="3"/>
  <c r="F121" i="3"/>
  <c r="F393" i="3"/>
  <c r="F441" i="3"/>
  <c r="F457" i="3"/>
  <c r="F473" i="3"/>
  <c r="F489" i="3"/>
  <c r="F585" i="3"/>
  <c r="F601" i="3"/>
  <c r="F633" i="3"/>
  <c r="F649" i="3"/>
  <c r="F665" i="3"/>
  <c r="F681" i="3"/>
  <c r="F697" i="3"/>
  <c r="F713" i="3"/>
  <c r="F486" i="3"/>
  <c r="F502" i="3"/>
  <c r="F534" i="3"/>
  <c r="F598" i="3"/>
  <c r="F614" i="3"/>
  <c r="F630" i="3"/>
  <c r="F662" i="3"/>
  <c r="F710" i="3"/>
  <c r="F134" i="3"/>
  <c r="F166" i="3"/>
  <c r="F310" i="3"/>
  <c r="F342" i="3"/>
  <c r="F438" i="3"/>
  <c r="F470" i="3"/>
  <c r="F35" i="3"/>
  <c r="F51" i="3"/>
  <c r="F115" i="3"/>
  <c r="F323" i="3"/>
  <c r="F339" i="3"/>
  <c r="F355" i="3"/>
  <c r="F419" i="3"/>
  <c r="F435" i="3"/>
  <c r="F451" i="3"/>
  <c r="F467" i="3"/>
  <c r="F483" i="3"/>
  <c r="F499" i="3"/>
  <c r="F675" i="3"/>
  <c r="F25" i="3"/>
  <c r="F464" i="3"/>
  <c r="F480" i="3"/>
  <c r="F496" i="3"/>
  <c r="F512" i="3"/>
  <c r="F544" i="3"/>
  <c r="F592" i="3"/>
  <c r="F608" i="3"/>
  <c r="F624" i="3"/>
  <c r="F640" i="3"/>
  <c r="F656" i="3"/>
  <c r="F572" i="3"/>
  <c r="F588" i="3"/>
  <c r="F41" i="3"/>
  <c r="F89" i="3"/>
  <c r="F38" i="3"/>
  <c r="F118" i="3"/>
  <c r="F48" i="3"/>
  <c r="F64" i="3"/>
  <c r="F96" i="3"/>
  <c r="F160" i="3"/>
  <c r="F208" i="3"/>
  <c r="F416" i="3"/>
  <c r="F432" i="3"/>
  <c r="F429" i="3"/>
  <c r="F589" i="3"/>
  <c r="F685" i="3"/>
  <c r="F701" i="3"/>
</calcChain>
</file>

<file path=xl/sharedStrings.xml><?xml version="1.0" encoding="utf-8"?>
<sst xmlns="http://schemas.openxmlformats.org/spreadsheetml/2006/main" count="5320" uniqueCount="2353">
  <si>
    <t>한국ST거래 메뉴구조·기능정의 v2 — 변경 요약</t>
  </si>
  <si>
    <t>기준: Git 프로토타입 화면 148개(v1) → v2 152개(신규 4). 아래 집계는 시트 값에서 자동 계산됩니다.</t>
  </si>
  <si>
    <t>변경구분</t>
  </si>
  <si>
    <t>정의</t>
  </si>
  <si>
    <t>색상</t>
  </si>
  <si>
    <t>화면 수</t>
  </si>
  <si>
    <t>기능정의 행 수</t>
  </si>
  <si>
    <t>신규</t>
  </si>
  <si>
    <t>새로 추가된 화면·기능</t>
  </si>
  <si>
    <t>수정</t>
  </si>
  <si>
    <t>화면 내용·표시 방식·문구가 바뀜</t>
  </si>
  <si>
    <t>이동</t>
  </si>
  <si>
    <t>메뉴 위치(경로)가 바뀜 — 상세 시트 경로는 자동 반영</t>
  </si>
  <si>
    <t>명칭변경</t>
  </si>
  <si>
    <t>메뉴명만 바뀜 — 상세 시트 경로는 자동 반영</t>
  </si>
  <si>
    <t>삭제</t>
  </si>
  <si>
    <t>v2에서 제거(다른 화면으로 통합 포함). 이력 보존을 위해 행은 남김</t>
  </si>
  <si>
    <t>유지</t>
  </si>
  <si>
    <t>변경 없음</t>
  </si>
  <si>
    <t>합계</t>
  </si>
  <si>
    <t>유효 화면(삭제 제외)</t>
  </si>
  <si>
    <t>v2 메뉴 트리 (하단 탭 5개)</t>
  </si>
  <si>
    <t>홈 · 백년가게 · 거래 · MY · 더보기  (알림·검색은 탭이 아닌 진입 화면)</t>
  </si>
  <si>
    <t>거래 ─ 종목(목록 + 검색 영역 + 필터 시트) ─ 종목상세(정보/주문(간편·일반)/호가/차트/내 주문/커뮤니티)</t>
  </si>
  <si>
    <t>MY ─ 허브(프로필·투자성향 칩 → 내 자산 카드 → 관심 → 활동 → 내 정보·투자자 자격 신청)</t>
  </si>
  <si>
    <t xml:space="preserve">    ├ 내 자산: 보유 | 주문 내역 | 손익 현황 | 거래 한도  (공통 헤더: 계좌 셀렉터·평가금·잔고, 계좌 변경 바텀시트)</t>
  </si>
  <si>
    <t xml:space="preserve">    ├ 관심: 관심종목 | 관심가게</t>
  </si>
  <si>
    <t xml:space="preserve">    ├ 활동 내역: 커뮤니티(게시글|댓글) | 문의내역</t>
  </si>
  <si>
    <t xml:space="preserve">    ├ 내 정보(재인증): 기본 정보 수정 · 투자 성향 분석(실시 Q1~Q6, 결과) · 투자자 자격 신청(서류 제출, 개인정보 동의)</t>
  </si>
  <si>
    <t xml:space="preserve">    └ 설정: 정보설정 · 회원탈퇴</t>
  </si>
  <si>
    <t>더보기(그룹 없는 1단 목록) ─ 공지사항 · 이벤트 · 이용안내 · 고객센터 · 투자자 유의사항 · 약관 및 정책(하위 4종) · 회사소개 ↗ · 앱 버전</t>
  </si>
  <si>
    <t>검색 ─ 검색 홈 · 검색 결과(종목|가게)   ※ 진입: 홈·백년가게(탐색)·거래 상단 검색 영역</t>
  </si>
  <si>
    <t>메뉴명을 바꾸는 방법</t>
  </si>
  <si>
    <t>1) '메뉴구조' 시트 B~E열에서 해당 셀을 수정합니다(같은 이름의 묶음은 찾기·바꾸기 → '전체 셀 내용 일치' 사용).</t>
  </si>
  <si>
    <t>2) '화면(전체 경로)'와 '기능정의 상세'의 1~4Depth·전체 경로가 화면ID 기준으로 자동 갱신됩니다.</t>
  </si>
  <si>
    <t>3) 변경한 행의 '변경구분'을 명칭변경/이동 등으로 바꾸고, '변경 전 경로'에 이전 값을 남깁니다.</t>
  </si>
  <si>
    <t>4) 기능정의 상세의 설명·정책 본문 안에 적힌 메뉴명(예: '거래 &gt; 관심')은 수식이 아니므로 별도로 수정해야 합니다.</t>
  </si>
  <si>
    <t>한국ST거래 프론트 IA — 메뉴구조 v2 (MY 자산 중심 개편)</t>
  </si>
  <si>
    <t>메뉴명은 이 시트의 B~E열에서만 수정하세요. '기능정의 상세' 시트의 1~4Depth·전체 경로는 화면ID로 자동 연동됩니다. 변경구분·변경 전 경로·변경 내용은 v1(2026.09.27 Git 기준) 대비 변경 이력입니다.</t>
  </si>
  <si>
    <t>화면ID</t>
  </si>
  <si>
    <t>1Depth</t>
  </si>
  <si>
    <t>2Depth</t>
  </si>
  <si>
    <t>3Depth</t>
  </si>
  <si>
    <t>4Depth</t>
  </si>
  <si>
    <t>화면구분</t>
  </si>
  <si>
    <t>화면(전체 경로)</t>
  </si>
  <si>
    <t>로그인후</t>
  </si>
  <si>
    <t>기능정의수</t>
  </si>
  <si>
    <t>상태</t>
  </si>
  <si>
    <t>변경 전 경로</t>
  </si>
  <si>
    <t>변경 내용</t>
  </si>
  <si>
    <t>비고</t>
  </si>
  <si>
    <t>확인 필요</t>
  </si>
  <si>
    <t>S001</t>
  </si>
  <si>
    <t>스플래시</t>
  </si>
  <si>
    <t>—</t>
  </si>
  <si>
    <t>상세</t>
  </si>
  <si>
    <t>Y</t>
  </si>
  <si>
    <t>편집중</t>
  </si>
  <si>
    <t>화면구분 추정</t>
  </si>
  <si>
    <t>S002</t>
  </si>
  <si>
    <t>회원가입</t>
  </si>
  <si>
    <t>약관동의</t>
  </si>
  <si>
    <t>초안</t>
  </si>
  <si>
    <t>S003</t>
  </si>
  <si>
    <t>본인인증_정책</t>
  </si>
  <si>
    <t>S004</t>
  </si>
  <si>
    <t>회원정보 입력</t>
  </si>
  <si>
    <t>S005</t>
  </si>
  <si>
    <t>로그인설정 (생체)</t>
  </si>
  <si>
    <t>S006</t>
  </si>
  <si>
    <t>투자정보 입력</t>
  </si>
  <si>
    <t>S007</t>
  </si>
  <si>
    <t>투자정보 입력 2</t>
  </si>
  <si>
    <t>S008</t>
  </si>
  <si>
    <t>가입완료</t>
  </si>
  <si>
    <t>이용안내 링크 추가 (STEP2 반영)</t>
  </si>
  <si>
    <t>S009</t>
  </si>
  <si>
    <t>S010</t>
  </si>
  <si>
    <t>로그인</t>
  </si>
  <si>
    <t>S011</t>
  </si>
  <si>
    <t>다른방법으로로그인</t>
  </si>
  <si>
    <t>S012</t>
  </si>
  <si>
    <t>홈</t>
  </si>
  <si>
    <t>메인</t>
  </si>
  <si>
    <t>상단 검색 영역 추가(R-07) · 이벤트 섹션명 '이벤트'로 통일 · 관심 아이콘 하트 통일(R-12)</t>
  </si>
  <si>
    <t>이용안내 진입 배너 추가 (홈 하단) ← STEP2 반영</t>
  </si>
  <si>
    <t>S013</t>
  </si>
  <si>
    <t>로그인 후</t>
  </si>
  <si>
    <t>S014</t>
  </si>
  <si>
    <t>내 자산 띠 이동 대상 변경: 거래 &gt; 보유 → MY &gt; 내 자산</t>
  </si>
  <si>
    <t>S015</t>
  </si>
  <si>
    <t>백년가게</t>
  </si>
  <si>
    <t>탐색</t>
  </si>
  <si>
    <t>목록</t>
  </si>
  <si>
    <t>상단 검색 영역 추가(R-07) · 찜 안내 문구를 MY &gt; 관심으로 수정</t>
  </si>
  <si>
    <t>S016</t>
  </si>
  <si>
    <t>가게 상세</t>
  </si>
  <si>
    <t>정보</t>
  </si>
  <si>
    <t>탭(상세)</t>
  </si>
  <si>
    <t>찜 안내 문구를 MY &gt; 관심으로 수정</t>
  </si>
  <si>
    <t>S017</t>
  </si>
  <si>
    <t>종목</t>
  </si>
  <si>
    <t>탭(목록)</t>
  </si>
  <si>
    <t>S018</t>
  </si>
  <si>
    <t>커뮤니티</t>
  </si>
  <si>
    <t>S019</t>
  </si>
  <si>
    <t>혜택</t>
  </si>
  <si>
    <t>S020</t>
  </si>
  <si>
    <t>내 주변</t>
  </si>
  <si>
    <t>S021</t>
  </si>
  <si>
    <t>백년가게?</t>
  </si>
  <si>
    <t>S023</t>
  </si>
  <si>
    <t>거래</t>
  </si>
  <si>
    <t>거래 / 전체</t>
  </si>
  <si>
    <t>2Depth '전체'→'종목' · 세그먼트(전체/보유/관심) 제거 · 정렬 팝업(S149)·관심만 칩·검색 영역 추가</t>
  </si>
  <si>
    <t>상장 종목 목록 + 정렬 팝업 + '관심만' 칩. 보유 종목·주문 내역은 MY &gt; 내 자산으로 이동</t>
  </si>
  <si>
    <t>S149</t>
  </si>
  <si>
    <t>정렬</t>
  </si>
  <si>
    <t>팝업</t>
  </si>
  <si>
    <t>거래 종목 목록의 정렬 팝업 신규 정의(R-02, 정렬만 있는 경우 팝업)</t>
  </si>
  <si>
    <t>정렬 6종 단일 선택, 탭 즉시 적용. '관심만 보기'는 목록 상단 칩(S023)</t>
  </si>
  <si>
    <t>S024</t>
  </si>
  <si>
    <t>종목상세</t>
  </si>
  <si>
    <t>거래 / 전체 / 종목상세 / 정보</t>
  </si>
  <si>
    <t>2Depth '전체' → '종목' (S023 명칭 변경에 따라 경로 자동 반영)</t>
  </si>
  <si>
    <t>S025</t>
  </si>
  <si>
    <t>정보&gt; 예상분배금 계산기</t>
  </si>
  <si>
    <t>바텀시트</t>
  </si>
  <si>
    <t>거래 / 전체 / 종목상세 / 정보 &gt; 예상분배금 계산기 | (화면구분) 상세 → 바텀시트</t>
  </si>
  <si>
    <t>화면구분 표기 통일: 계산기 = 바텀시트(R-01)</t>
  </si>
  <si>
    <t>S026</t>
  </si>
  <si>
    <t>정보&gt; 발행공시 목록</t>
  </si>
  <si>
    <t>거래 / 전체 / 종목상세 / 정보 &gt; 발행공시 목록</t>
  </si>
  <si>
    <t>헤더 제목 '공시' 표시 · 상세 이동을 오버레이 → 페이지로 변경(R-01)</t>
  </si>
  <si>
    <t>S027</t>
  </si>
  <si>
    <t>정보&gt; 발행공시 상세</t>
  </si>
  <si>
    <t>거래 / 전체 / 종목상세 / 정보 &gt; 발행공시 상세</t>
  </si>
  <si>
    <t>상세를 오버레이 → 전체 페이지로 변경 · 닫기(X) → 뒤로가기(←)(R-01)</t>
  </si>
  <si>
    <t>S028</t>
  </si>
  <si>
    <t>정보&gt; 유통공시 목록</t>
  </si>
  <si>
    <t>거래 / 전체 / 종목상세 / 정보 &gt; 유통공시 목록</t>
  </si>
  <si>
    <t>S029</t>
  </si>
  <si>
    <t>정보&gt; 유통공시 상세</t>
  </si>
  <si>
    <t>거래 / 전체 / 종목상세 / 정보 &gt; 유통공시 상세</t>
  </si>
  <si>
    <t>S030</t>
  </si>
  <si>
    <t>주문 (간편)</t>
  </si>
  <si>
    <t>거래 / 전체 / 종목상세 / 주문 (간편)</t>
  </si>
  <si>
    <t>2Depth '전체' → '종목' (S023 명칭 변경에 따라 경로 자동 반영) · 본문 표기 통일('팝업' → '바텀시트', R-01)</t>
  </si>
  <si>
    <t>아이콘 대체 예정. 텍스트 레이블 변경 없음</t>
  </si>
  <si>
    <t>S031</t>
  </si>
  <si>
    <t>주문 (간편)&gt; 구매&gt; 구매 희망가</t>
  </si>
  <si>
    <t>거래 / 전체 / 종목상세 / 주문 (간편)&gt; 구매&gt; 구매 희망가</t>
  </si>
  <si>
    <t>S032</t>
  </si>
  <si>
    <t>주문 (간편)&gt; 구매&gt; 구매 희망가&gt; 구매주문</t>
  </si>
  <si>
    <t>거래 / 전체 / 종목상세 / 주문 (간편)&gt; 구매&gt; 구매 희망가&gt; 구매주문 | (화면구분) 팝업 → 바텀시트</t>
  </si>
  <si>
    <t>주문 확인: 팝업 → 바텀시트(R-01)</t>
  </si>
  <si>
    <t>S033</t>
  </si>
  <si>
    <t>주문 (간편)&gt; 구매&gt; 구매 희망가&gt; 구매완료</t>
  </si>
  <si>
    <t>거래 / 전체 / 종목상세 / 주문 (간편)&gt; 구매&gt; 구매 희망가&gt; 구매완료 | (화면구분) 팝업 → 상세</t>
  </si>
  <si>
    <t>주문 완료: 팝업 → 전체 페이지(결과 화면). 일반 주문 완료와 동일 형식(R-01)</t>
  </si>
  <si>
    <t>S034</t>
  </si>
  <si>
    <t>주문 (간편)&gt; 구매&gt; AI매칭</t>
  </si>
  <si>
    <t>거래 / 전체 / 종목상세 / 주문 (간편)&gt; 구매&gt; AI매칭</t>
  </si>
  <si>
    <t>AI매칭 '주문예정내역' → '예상 체결 내역' 상시 노출 영역으로 변경(R-06)</t>
  </si>
  <si>
    <t>S035</t>
  </si>
  <si>
    <t>주문 (간편)&gt; 구매&gt; AI매칭&gt; 구매주문</t>
  </si>
  <si>
    <t>거래 / 전체 / 종목상세 / 주문 (간편)&gt; 구매&gt; AI매칭&gt; 구매주문 | (화면구분) 팝업 → 바텀시트</t>
  </si>
  <si>
    <t>S036</t>
  </si>
  <si>
    <t>주문 (간편)&gt; 구매&gt; AI매칭&gt; 구매완료</t>
  </si>
  <si>
    <t>거래 / 전체 / 종목상세 / 주문 (간편)&gt; 구매&gt; AI매칭&gt; 구매완료 | (화면구분) 팝업 → 상세</t>
  </si>
  <si>
    <t>S037</t>
  </si>
  <si>
    <t>주문 (간편)&gt; 판매&gt; 판매 희망가</t>
  </si>
  <si>
    <t>거래 / 전체 / 종목상세 / 주문 (간편)&gt; 판매&gt; 판매 희망가</t>
  </si>
  <si>
    <t>S038</t>
  </si>
  <si>
    <t>주문 (간편)&gt; 판매&gt; 판매 희망가&gt; 판매주문</t>
  </si>
  <si>
    <t>거래 / 전체 / 종목상세 / 주문 (간편)&gt; 판매&gt; 판매 희망가&gt; 판매주문 | (화면구분) 팝업 → 바텀시트</t>
  </si>
  <si>
    <t>S039</t>
  </si>
  <si>
    <t>주문 (간편)&gt; 판매&gt; 판매 희망가&gt; 판매완료</t>
  </si>
  <si>
    <t>거래 / 전체 / 종목상세 / 주문 (간편)&gt; 판매&gt; 판매 희망가&gt; 판매완료 | (화면구분) 팝업 → 상세</t>
  </si>
  <si>
    <t>S040</t>
  </si>
  <si>
    <t>주문 (간편)&gt; 판매&gt; AI매칭</t>
  </si>
  <si>
    <t>거래 / 전체 / 종목상세 / 주문 (간편)&gt; 판매&gt; AI매칭</t>
  </si>
  <si>
    <t>S041</t>
  </si>
  <si>
    <t>주문 (간편)&gt; 판매&gt; AI매칭&gt; 판매주문</t>
  </si>
  <si>
    <t>거래 / 전체 / 종목상세 / 주문 (간편)&gt; 판매&gt; AI매칭&gt; 판매주문 | (화면구분) 팝업 → 바텀시트</t>
  </si>
  <si>
    <t>S042</t>
  </si>
  <si>
    <t>주문 (간편)&gt; 판매&gt; AI매칭&gt; 판매완료</t>
  </si>
  <si>
    <t>거래 / 전체 / 종목상세 / 주문 (간편)&gt; 판매&gt; AI매칭&gt; 판매완료 | (화면구분) 팝업 → 상세</t>
  </si>
  <si>
    <t>S043</t>
  </si>
  <si>
    <t>주문 (간편)&gt; 대기</t>
  </si>
  <si>
    <t>거래 / 전체 / 종목상세 / 주문 (간편)&gt; 대기</t>
  </si>
  <si>
    <t>대기 목록 카드 표기 통일(R-05) · 주문 상세 시트 연결</t>
  </si>
  <si>
    <t>S044</t>
  </si>
  <si>
    <t>주문 (간편)&gt; 대기&gt; 수정&gt; 취소</t>
  </si>
  <si>
    <t>거래 / 전체 / 종목상세 / 주문 (간편)&gt; 대기&gt; 수정/취소</t>
  </si>
  <si>
    <t>S045</t>
  </si>
  <si>
    <t>주문 (일반)</t>
  </si>
  <si>
    <t>거래 / 전체 / 종목상세 / 주문 (일반)</t>
  </si>
  <si>
    <t>S046</t>
  </si>
  <si>
    <t>주문 (일반)&gt; 구매&gt; 구매희망가</t>
  </si>
  <si>
    <t>거래 / 전체 / 종목상세 / 주문 (일반) &gt; 구매 &gt; 구매희망가</t>
  </si>
  <si>
    <t>S047</t>
  </si>
  <si>
    <t>주문 (일반)&gt; 구매&gt; 구매희망가_가격 및 수량 입력(1&gt; 3)</t>
  </si>
  <si>
    <t>거래 / 전체 / 종목상세 / 주문 (일반) &gt; 구매 &gt; 구매희망가_가격 및 수량 입력(1/3)</t>
  </si>
  <si>
    <t>S048</t>
  </si>
  <si>
    <t>주문 (일반)&gt; 구매&gt; 구매희망가_가격 및 수량 입력(2&gt; 3)</t>
  </si>
  <si>
    <t>거래 / 전체 / 종목상세 / 주문 (일반) &gt; 구매 &gt; 구매희망가_가격 및 수량 입력(2/3)</t>
  </si>
  <si>
    <t>S049</t>
  </si>
  <si>
    <t>주문 (일반)&gt; 구매&gt; 구매희망가_가격 및 수량 입력(3&gt; 3)</t>
  </si>
  <si>
    <t>거래 / 전체 / 종목상세 / 주문 (일반) &gt; 구매 &gt; 구매희망가_가격 및 수량 입력(3/3)</t>
  </si>
  <si>
    <t>S050</t>
  </si>
  <si>
    <t>주문 (일반)&gt; 구매&gt; 구매희망가&gt; 구매주문</t>
  </si>
  <si>
    <t>거래 / 전체 / 종목상세 / 주문 (일반) &gt; 구매 &gt; 구매희망가 &gt; 구매주문 | (화면구분) 상세 → 바텀시트</t>
  </si>
  <si>
    <t>주문 확인: 상세(페이지) → 바텀시트(R-01)</t>
  </si>
  <si>
    <t>S051</t>
  </si>
  <si>
    <t>주문 (일반)&gt; 구매&gt; 구매희망가&gt; 주문완료</t>
  </si>
  <si>
    <t>거래 / 전체 / 종목상세 / 주문 (일반) &gt; 구매 &gt; 구매희망가 &gt; 주문완료</t>
  </si>
  <si>
    <t>S052</t>
  </si>
  <si>
    <t>주문 (일반)&gt; 구매&gt; AI매칭_수량입력(1&gt; 3)</t>
  </si>
  <si>
    <t>거래 / 전체 / 종목상세 / 주문 (일반) &gt; 구매 &gt; AI매칭_수량입력(1/3)</t>
  </si>
  <si>
    <t>예상 체결 내역 영역 상시 노출(입력 전 안내 상태) 추가(R-06)</t>
  </si>
  <si>
    <t>S053</t>
  </si>
  <si>
    <t>주문 (일반)&gt; 구매&gt; AI매칭_수량입력(2&gt; 3)</t>
  </si>
  <si>
    <t>거래 / 전체 / 종목상세 / 주문 (일반) &gt; 구매 &gt; AI매칭_수량입력(2/3)</t>
  </si>
  <si>
    <t>'주문예정내역' → '예상 체결 내역' · 링크 노출 방식 제거, 영역 상시 노출(R-06)</t>
  </si>
  <si>
    <t>S054</t>
  </si>
  <si>
    <t>주문 (일반)&gt; 구매&gt; AI매칭_수량입력(3&gt; 3)</t>
  </si>
  <si>
    <t>거래 / 전체 / 종목상세 / 주문 (일반) &gt; 구매 &gt; AI매칭_수량입력(3/3)</t>
  </si>
  <si>
    <t>S055</t>
  </si>
  <si>
    <t>주문 (일반)&gt; 구매&gt; AI매칭_매칭 가능 호가 없는 경우</t>
  </si>
  <si>
    <t>거래 / 전체 / 종목상세 / 주문 (일반) &gt; 구매 &gt; AI매칭_매칭 가능 호가 없는 경우</t>
  </si>
  <si>
    <t>S056</t>
  </si>
  <si>
    <t>주문 (일반)&gt; 구매&gt; AI매칭_매칭 가능 호가 있는 경우</t>
  </si>
  <si>
    <t>거래 / 전체 / 종목상세 / 주문 (일반) &gt; 구매 &gt; AI매칭_매칭 가능 호가 있는 경우</t>
  </si>
  <si>
    <t>S057</t>
  </si>
  <si>
    <t>주문 (일반)&gt; 구매&gt; AI매칭&gt; 구매주문</t>
  </si>
  <si>
    <t>거래 / 전체 / 종목상세 / 주문 (일반) &gt; 구매 &gt; AI매칭 &gt; 구매주문 | (화면구분) 상세 → 바텀시트</t>
  </si>
  <si>
    <t>S058</t>
  </si>
  <si>
    <t>주문 (일반)&gt; 구매&gt; AI매칭&gt; 주문완료</t>
  </si>
  <si>
    <t>거래 / 전체 / 종목상세 / 주문 (일반) &gt; 구매 &gt; AI매칭 &gt; 주문완료</t>
  </si>
  <si>
    <t>S059</t>
  </si>
  <si>
    <t>주문 (일반)&gt; 판매&gt; 판매희망가</t>
  </si>
  <si>
    <t>거래 / 전체 / 종목상세 / 주문 (일반) &gt; 판매 &gt; 판매희망가</t>
  </si>
  <si>
    <t>S060</t>
  </si>
  <si>
    <t>주문 (일반)&gt; 판매&gt; AI매칭</t>
  </si>
  <si>
    <t>거래 / 전체 / 종목상세 / 주문 (일반) &gt; 판매 &gt; AI매칭</t>
  </si>
  <si>
    <t>S061</t>
  </si>
  <si>
    <t>주문 (일반)&gt; 판매&gt; 판매희망가(1&gt; 3)</t>
  </si>
  <si>
    <t>거래 / 전체 / 종목상세 / 주문 (일반) &gt; 판매 &gt; 판매희망가(1/3)</t>
  </si>
  <si>
    <t>S062</t>
  </si>
  <si>
    <t>주문 (일반)&gt; 판매&gt; 판매희망가(2&gt; 3)</t>
  </si>
  <si>
    <t>거래 / 전체 / 종목상세 / 주문 (일반) &gt; 판매 &gt; 판매희망가(2/3)</t>
  </si>
  <si>
    <t>S063</t>
  </si>
  <si>
    <t>주문 (일반)&gt; 판매&gt; 판매희망가(3&gt; 3)</t>
  </si>
  <si>
    <t>거래 / 전체 / 종목상세 / 주문 (일반) &gt; 판매 &gt; 판매희망가(3/3)</t>
  </si>
  <si>
    <t>S064</t>
  </si>
  <si>
    <t>주문 (일반)&gt; 판매&gt; 판매희망가&gt; 판매주문</t>
  </si>
  <si>
    <t>거래 / 전체 / 종목상세 / 주문 (일반) &gt; 판매 &gt; 판매희망가 &gt; 판매주문 | (화면구분) 상세 → 바텀시트</t>
  </si>
  <si>
    <t>S065</t>
  </si>
  <si>
    <t>주문 (일반)&gt; 판매&gt; 판매희망가&gt; 주문완료</t>
  </si>
  <si>
    <t>거래 / 전체 / 종목상세 / 주문 (일반) &gt; 판매 &gt; 판매희망가 &gt; 주문완료</t>
  </si>
  <si>
    <t>S066</t>
  </si>
  <si>
    <t>주문 (일반)&gt; 판매&gt; AI매칭_수량입력(1&gt; 3)</t>
  </si>
  <si>
    <t>거래 / 전체 / 종목상세 / 주문 (일반) &gt; 판매 &gt; AI매칭_수량입력(1/3)</t>
  </si>
  <si>
    <t>S067</t>
  </si>
  <si>
    <t>주문 (일반)&gt; 판매&gt; AI매칭_수량입력(2&gt; 3)</t>
  </si>
  <si>
    <t>거래 / 전체 / 종목상세 / 주문 (일반) &gt; 판매 &gt; AI매칭_수량입력(2/3)</t>
  </si>
  <si>
    <t>S068</t>
  </si>
  <si>
    <t>주문 (일반)&gt; 판매&gt; AI매칭_수량입력(3&gt; 3)</t>
  </si>
  <si>
    <t>거래 / 전체 / 종목상세 / 주문 (일반) &gt; 판매 &gt; AI매칭_수량입력(3/3)</t>
  </si>
  <si>
    <t>S069</t>
  </si>
  <si>
    <t>주문 (일반)&gt; 판매&gt; AI매칭&gt; 판매주문</t>
  </si>
  <si>
    <t>거래 / 전체 / 종목상세 / 주문 (일반) &gt; 판매 &gt; AI매칭 &gt; 판매주문 | (화면구분) 상세 → 바텀시트</t>
  </si>
  <si>
    <t>S070</t>
  </si>
  <si>
    <t>주문 (일반)&gt; 판매&gt; AI매칭&gt; 주문완료</t>
  </si>
  <si>
    <t>거래 / 전체 / 종목상세 / 주문 (일반) &gt; 판매 &gt; AI매칭 &gt; 주문완료</t>
  </si>
  <si>
    <t>S071</t>
  </si>
  <si>
    <t>호가</t>
  </si>
  <si>
    <t>거래 / 전체 / 종목상세 / 호가</t>
  </si>
  <si>
    <t>"호가" 유지 결정</t>
  </si>
  <si>
    <t>S072</t>
  </si>
  <si>
    <t>차트</t>
  </si>
  <si>
    <t>거래 / 전체 / 종목상세 / 차트</t>
  </si>
  <si>
    <t>S073</t>
  </si>
  <si>
    <t>차트&gt; 체결시세 목록</t>
  </si>
  <si>
    <t>거래 / 전체 / 종목상세 / 차트 &gt; 체결시세 목록</t>
  </si>
  <si>
    <t>S074</t>
  </si>
  <si>
    <t>차트&gt; 일별시세 목록</t>
  </si>
  <si>
    <t>거래 / 전체 / 종목상세 / 차트 &gt; 일별시세 목록</t>
  </si>
  <si>
    <t>S075</t>
  </si>
  <si>
    <t>내 주문</t>
  </si>
  <si>
    <t>거래 / 전체 / 종목상세 / 내 주문</t>
  </si>
  <si>
    <t>계좌 셀렉터(R-04) · 주문 카드 표기 통일(R-05) · 필터 기준 재정의 · 주문 상세 시트(S152) 연결</t>
  </si>
  <si>
    <t>S140</t>
  </si>
  <si>
    <t>계좌 셀렉터(R-04) · 주문 카드 표기 통일(R-05)</t>
  </si>
  <si>
    <t>S076</t>
  </si>
  <si>
    <t>내 주문&gt; 계좌변경</t>
  </si>
  <si>
    <t>거래 / 전체 / 종목상세 / 내 주문&gt; 계좌변경</t>
  </si>
  <si>
    <t>S089(계좌 변경 바텀시트)로 통합 — 진입점은 계좌 셀렉터 1종(R-04)</t>
  </si>
  <si>
    <t>S077</t>
  </si>
  <si>
    <t>내 주문&gt; 필터</t>
  </si>
  <si>
    <t>거래 / 전체 / 종목상세 / 내 주문 &gt; 필터 | (화면구분) 상세 → 바텀시트</t>
  </si>
  <si>
    <t>주문상태 필터를 수량 기반 포함 관계로 재정의(R-05) · 바텀시트 스타일 통일(R-02)</t>
  </si>
  <si>
    <t>S078</t>
  </si>
  <si>
    <t>커뮤니티&gt; 목록</t>
  </si>
  <si>
    <t>거래 / 전체 / 종목상세 / 커뮤니티&gt; 목록</t>
  </si>
  <si>
    <t>정렬 드롭다운 → 정렬 팝업 트리거로 변경(R-02)</t>
  </si>
  <si>
    <t>S138</t>
  </si>
  <si>
    <t>거래 / 전체 / 종목상세 / 커뮤니티</t>
  </si>
  <si>
    <t>S079</t>
  </si>
  <si>
    <t>커뮤니티_필터</t>
  </si>
  <si>
    <t>거래 / 전체 / 종목상세 / 커뮤니티_필터 | (화면구분) 탭(상세) → 팝업</t>
  </si>
  <si>
    <t>정렬 드롭다운 → 정렬 팝업(R-02) · 깔때기 아이콘 불일치 해소</t>
  </si>
  <si>
    <t>S080</t>
  </si>
  <si>
    <t>호가&gt; 구매 호가 클릭시</t>
  </si>
  <si>
    <t>거래 / 전체 / 종목상세 / 호가 &gt; 구매 호가 클릭시</t>
  </si>
  <si>
    <t>S081</t>
  </si>
  <si>
    <t>호가&gt; 판매 호가 클릭시</t>
  </si>
  <si>
    <t>거래 / 전체 / 종목상세 / 호가 &gt; 판매 호가 클릭시</t>
  </si>
  <si>
    <t>S141</t>
  </si>
  <si>
    <t>거래 / 전체 / 종목상세 / 주문 (일반)/판매/판매희망가</t>
  </si>
  <si>
    <t>S082</t>
  </si>
  <si>
    <t>커뮤니티&gt; 상세보기</t>
  </si>
  <si>
    <t>거래 / 전체 / 종목상세 / 커뮤니티 &gt; 상세보기</t>
  </si>
  <si>
    <t>S083</t>
  </si>
  <si>
    <t>커뮤니티&gt; 상세보기_신고하기</t>
  </si>
  <si>
    <t>거래 / 전체 / 종목상세 / 커뮤니티 &gt; 상세보기_신고하기 | (화면구분) 상세 → 바텀시트</t>
  </si>
  <si>
    <t>⋮ 메뉴(미니 메뉴) → 액션 바텀시트(R-01)</t>
  </si>
  <si>
    <t>S084</t>
  </si>
  <si>
    <t>커뮤니티&gt; 상세보기_신고하기 이유</t>
  </si>
  <si>
    <t>거래 / 전체 / 종목상세 / 커뮤니티 &gt; 상세보기_신고하기 이유 | (화면구분) 상세 → 바텀시트</t>
  </si>
  <si>
    <t>화면구분 표기 통일: 신고 사유 = 바텀시트(R-01)</t>
  </si>
  <si>
    <t>S085</t>
  </si>
  <si>
    <t>커뮤니티&gt; 글쓰기(1&gt; 2)</t>
  </si>
  <si>
    <t>글쓰기</t>
  </si>
  <si>
    <t>거래 / 전체 / 종목상세 / 커뮤니티 &gt; 글쓰기(1/2) | (화면구분) 상세 → 글쓰기</t>
  </si>
  <si>
    <t>화면구분 표기 통일: 글쓰기</t>
  </si>
  <si>
    <t>S086</t>
  </si>
  <si>
    <t>커뮤니티&gt; 글쓰기(2&gt; 2)</t>
  </si>
  <si>
    <t>거래 / 전체 / 종목상세 / 커뮤니티 &gt; 글쓰기(2/2) | (화면구분) 상세 → 글쓰기</t>
  </si>
  <si>
    <t>S139</t>
  </si>
  <si>
    <t>계좌변경</t>
  </si>
  <si>
    <t>S089(계좌 변경 바텀시트)로 통합</t>
  </si>
  <si>
    <t>화면구분 추정 · 기존 메뉴구조 파일에 없음(신규/재확인 필요)</t>
  </si>
  <si>
    <t>S112</t>
  </si>
  <si>
    <t>MY</t>
  </si>
  <si>
    <t>MY 메인</t>
  </si>
  <si>
    <t>MY 메인을 자산 중심 스크롤 허브로 재구성(내 자산·관심·활동·내 정보 카드), 비로그인 미리보기 추가(R-08)</t>
  </si>
  <si>
    <t>내 자산 진입 카드 추가</t>
  </si>
  <si>
    <t>S087</t>
  </si>
  <si>
    <t>내 자산</t>
  </si>
  <si>
    <t>보유</t>
  </si>
  <si>
    <t>거래 / 보유</t>
  </si>
  <si>
    <t>거래 &gt; 보유 → MY &gt; 내 자산 &gt; 보유. 공통 헤더(계좌 셀렉터·평가금·잔고) + 4탭(보유/주문 내역/손익 현황/거래 한도)</t>
  </si>
  <si>
    <t>내 자산 화면의 첫 탭. 상단 공통 헤더는 탭 전환 시 유지</t>
  </si>
  <si>
    <t>S088</t>
  </si>
  <si>
    <t>주문 내역</t>
  </si>
  <si>
    <t>거래 / 보유 / 주문 내역</t>
  </si>
  <si>
    <t>거래 &gt; 보유 &gt; 주문 내역 → MY &gt; 내 자산 &gt; 주문 내역. 카드 표기·필터 재정의(R-05)</t>
  </si>
  <si>
    <t>필터: 미체결 / 체결 / 취소·만료 (수량 기반 포함 관계). 전체 계좌 기준 조회. 미체결 N건 바로가기 칩</t>
  </si>
  <si>
    <t>S152</t>
  </si>
  <si>
    <t>주문 상세</t>
  </si>
  <si>
    <t>주문 상세 바텀시트 신규 — 체결 건별 내역·만료 D-day 표시(R-05)</t>
  </si>
  <si>
    <t>주문 내역·종목상세 내 주문·대기 목록의 카드 탭에서 공통 호출</t>
  </si>
  <si>
    <t>S089</t>
  </si>
  <si>
    <t>계좌 변경</t>
  </si>
  <si>
    <t>거래 / 보유 / 계좌 요약&gt; 계좌변경 | (화면구분) 상세 → 바텀시트</t>
  </si>
  <si>
    <t>거래 &gt; 보유 &gt; 계좌 요약 &gt; 계좌변경 → MY &gt; 내 자산 &gt; 계좌 변경 (S076·S139 통합 정본)</t>
  </si>
  <si>
    <t>S090</t>
  </si>
  <si>
    <t>손익 현황</t>
  </si>
  <si>
    <t>거래 / 보유 / 손익 현황</t>
  </si>
  <si>
    <t>거래 &gt; 보유 &gt; 손익 현황 → MY &gt; 내 자산 &gt; 손익 현황. 연도 뱃지를 연도 셀렉터로 교체</t>
  </si>
  <si>
    <t>기존 "나의 수익" → "손익 현황" (용어변경 포함). 종목별·기간별 손익 조회</t>
  </si>
  <si>
    <t>S091</t>
  </si>
  <si>
    <t>거래 한도</t>
  </si>
  <si>
    <t>거래 / 보유 / 거래 한도</t>
  </si>
  <si>
    <t>거래 &gt; 보유 &gt; 거래 한도 → MY &gt; 내 자산 &gt; 거래 한도. [한도 늘리기] 링크 추가</t>
  </si>
  <si>
    <t>기존 "거래 한도" → "잔여 거래 한도" (용어변경 포함)</t>
  </si>
  <si>
    <t>S092</t>
  </si>
  <si>
    <t>관심</t>
  </si>
  <si>
    <t>관심종목</t>
  </si>
  <si>
    <t>거래 / 관심 / 관심종목</t>
  </si>
  <si>
    <t>거래 &gt; 관심 &gt; 관심종목 → MY &gt; 관심 &gt; 관심종목</t>
  </si>
  <si>
    <t>MY &gt; 관심: [관심종목] [관심가게] 세그먼트</t>
  </si>
  <si>
    <t>S022</t>
  </si>
  <si>
    <t>관심가게</t>
  </si>
  <si>
    <t>거래/관심가게 (위치 수정?) | (화면구분) 상세 → 목록</t>
  </si>
  <si>
    <t>거래 &gt; 관심가게 → MY &gt; 관심 &gt; 관심가게 · 관심 아이콘 하트로 통일(R-12)</t>
  </si>
  <si>
    <t>S113</t>
  </si>
  <si>
    <t>활동 내역</t>
  </si>
  <si>
    <t>상단 3탭(활동 내역/내 정보/내 투자성향) 삭제 → 허브 카드에서 진입, 게시글/댓글 세그먼트화(R-03)</t>
  </si>
  <si>
    <t>S114</t>
  </si>
  <si>
    <t>게시글</t>
  </si>
  <si>
    <t>S115</t>
  </si>
  <si>
    <t>S116</t>
  </si>
  <si>
    <t>게시글&gt; 필터</t>
  </si>
  <si>
    <t>(화면구분) 상세 → 팝업</t>
  </si>
  <si>
    <t>정렬 드롭다운 → 정렬 팝업(R-02)</t>
  </si>
  <si>
    <t>S117</t>
  </si>
  <si>
    <t>댓글</t>
  </si>
  <si>
    <t>S118</t>
  </si>
  <si>
    <t>게시글/댓글 전환을 세그먼트로 표기 통일(R-03)</t>
  </si>
  <si>
    <t>S119</t>
  </si>
  <si>
    <t>문의내역</t>
  </si>
  <si>
    <t>S120</t>
  </si>
  <si>
    <t>S121</t>
  </si>
  <si>
    <t>1&gt; 2</t>
  </si>
  <si>
    <t>필터 드롭다운 → 필터 팝업(R-02)</t>
  </si>
  <si>
    <t>S122</t>
  </si>
  <si>
    <t>2&gt; 2</t>
  </si>
  <si>
    <t>필터 드롭다운 → 필터 팝업(R-02, 단일 선택)</t>
  </si>
  <si>
    <t>S123</t>
  </si>
  <si>
    <t>내 정보</t>
  </si>
  <si>
    <t>재인증</t>
  </si>
  <si>
    <t>MY / 내정보 / 기본정보</t>
  </si>
  <si>
    <t>3Depth '기본정보' → '재인증'(실제 화면은 재인증 게이트) · 재인증 규칙(R-09)</t>
  </si>
  <si>
    <t>S093</t>
  </si>
  <si>
    <t>재인증 규칙 재정의(R-09): '탭 이동 즉시 초기화' 삭제 · 계좌 왕복 문구 삭제 · 투자자 자격 상태 표시</t>
  </si>
  <si>
    <t>S094</t>
  </si>
  <si>
    <t>이메일 1</t>
  </si>
  <si>
    <t>MY/내정보/이메일 1</t>
  </si>
  <si>
    <t>2Depth '내정보' → '내 정보' 표기 통일</t>
  </si>
  <si>
    <t>S095</t>
  </si>
  <si>
    <t>이메일 2</t>
  </si>
  <si>
    <t>MY/내정보/이메일 2</t>
  </si>
  <si>
    <t>S096</t>
  </si>
  <si>
    <t>자택주소 1</t>
  </si>
  <si>
    <t>MY/내정보/자택주소 1</t>
  </si>
  <si>
    <t>S097</t>
  </si>
  <si>
    <t>자택주소 2</t>
  </si>
  <si>
    <t>MY/내정보/자택주소 2</t>
  </si>
  <si>
    <t>S098</t>
  </si>
  <si>
    <t>직업 1</t>
  </si>
  <si>
    <t>MY/내정보/직업 1</t>
  </si>
  <si>
    <t>S099</t>
  </si>
  <si>
    <t>직업 2</t>
  </si>
  <si>
    <t>MY/내정보/직업 2</t>
  </si>
  <si>
    <t>S100</t>
  </si>
  <si>
    <t>직업 3</t>
  </si>
  <si>
    <t>MY/내정보/직업 3</t>
  </si>
  <si>
    <t>S101</t>
  </si>
  <si>
    <t>투자 성향 분석</t>
  </si>
  <si>
    <t>실시 Q1</t>
  </si>
  <si>
    <t>MY / 내정보 / 투자 성향 분석 / 실시</t>
  </si>
  <si>
    <t>2Depth '내정보' → '내 정보', 4Depth '실시' → '실시 Q1' (문항 번호 명시)</t>
  </si>
  <si>
    <t>S103</t>
  </si>
  <si>
    <t>실시 Q2</t>
  </si>
  <si>
    <t>MY/내 투자성향_실시 1</t>
  </si>
  <si>
    <t>MY 2Depth '내 투자성향_실시 N' → MY &gt; 내 정보 &gt; 투자 성향 분석 &gt; 실시 Q2 하위로 이동</t>
  </si>
  <si>
    <t>S104</t>
  </si>
  <si>
    <t>실시 Q3</t>
  </si>
  <si>
    <t>MY/내 투자성향_실시 2</t>
  </si>
  <si>
    <t>MY 2Depth '내 투자성향_실시 N' → MY &gt; 내 정보 &gt; 투자 성향 분석 &gt; 실시 Q3 하위로 이동</t>
  </si>
  <si>
    <t>S105</t>
  </si>
  <si>
    <t>실시 Q4</t>
  </si>
  <si>
    <t>MY/내 투자성향_실시 3</t>
  </si>
  <si>
    <t>MY 2Depth '내 투자성향_실시 N' → MY &gt; 내 정보 &gt; 투자 성향 분석 &gt; 실시 Q4 하위로 이동</t>
  </si>
  <si>
    <t>S106</t>
  </si>
  <si>
    <t>실시 Q5</t>
  </si>
  <si>
    <t>MY/내 투자성향_실시 4</t>
  </si>
  <si>
    <t>MY 2Depth '내 투자성향_실시 N' → MY &gt; 내 정보 &gt; 투자 성향 분석 &gt; 실시 Q5 하위로 이동</t>
  </si>
  <si>
    <t>S107</t>
  </si>
  <si>
    <t>실시 Q6</t>
  </si>
  <si>
    <t>MY/내 투자성향_실시 6</t>
  </si>
  <si>
    <t>MY 2Depth '내 투자성향_실시 N' → MY &gt; 내 정보 &gt; 투자 성향 분석 &gt; 실시 Q6 하위로 이동</t>
  </si>
  <si>
    <t>S102</t>
  </si>
  <si>
    <t>결과</t>
  </si>
  <si>
    <t>MY / 내정보 / 투자 성향 분석 / 결과</t>
  </si>
  <si>
    <t>칩 상태 연계(R-10): 만료 D-day·재실시 정책 추가. 이력 목록은 다음 단계</t>
  </si>
  <si>
    <t>S124</t>
  </si>
  <si>
    <t>투자자 자격 신청</t>
  </si>
  <si>
    <t>MY / 내정보 / 투자자 자격 신청</t>
  </si>
  <si>
    <t>심사 상태 5종 표시(R-11) · 진입점 명시(MY 정본 + 더보기 배너) · 서류 비보관 안내</t>
  </si>
  <si>
    <t>S125</t>
  </si>
  <si>
    <t>서류 제출</t>
  </si>
  <si>
    <t>더보기/소득적격투자자 신청 1</t>
  </si>
  <si>
    <t>더보기 &gt; 소득적격투자자 신청 1 → MY &gt; 내 정보 &gt; 투자자 자격 신청 &gt; 서류 제출</t>
  </si>
  <si>
    <t>상세화면 내 법령명칭(소득적격투자자) 병기 필수. 신청 결과·인정기간은 S124 상태 카드에 표시</t>
  </si>
  <si>
    <t>S126</t>
  </si>
  <si>
    <t>개인정보 동의</t>
  </si>
  <si>
    <t>더보기/소득적격투자자 신청 2</t>
  </si>
  <si>
    <t>더보기 &gt; 소득적격투자자 신청 2 → MY &gt; 내 정보 &gt; 투자자 자격 신청 &gt; 개인정보 동의. 팝업 → 전체 페이지(R-01)</t>
  </si>
  <si>
    <t>S108</t>
  </si>
  <si>
    <t>설정</t>
  </si>
  <si>
    <t>정보설정</t>
  </si>
  <si>
    <t>알림, 로그인 방식 등 설정</t>
  </si>
  <si>
    <t>S109</t>
  </si>
  <si>
    <t>회원탈퇴</t>
  </si>
  <si>
    <t>회원 상태</t>
  </si>
  <si>
    <t>[판매하러 가기] 이동 대상: 거래 보유 탭 → MY &gt; 내 자산 &gt; 보유</t>
  </si>
  <si>
    <t>S110</t>
  </si>
  <si>
    <t>탈퇴사유</t>
  </si>
  <si>
    <t>MY/정보설정/회원탈퇴/탈퇴사유</t>
  </si>
  <si>
    <t>2Depth '정보설정' → '설정'으로 정정</t>
  </si>
  <si>
    <t>S127</t>
  </si>
  <si>
    <t>더보기</t>
  </si>
  <si>
    <t>목록 (메인)</t>
  </si>
  <si>
    <t>메뉴 순서·명칭 재구성(그룹 없이 1단 목록) · 투자자 자격 신청 행 삭제 → 조건부 배너</t>
  </si>
  <si>
    <t>순서: 공지사항 · 이벤트 · 이용안내 · 고객센터 · 투자자 유의사항 · 약관 및 정책 · 회사소개 · 앱 버전 (그룹 구분 없음). 상단에 투자자 자격 신청 조건부 배너</t>
  </si>
  <si>
    <t>S131</t>
  </si>
  <si>
    <t>공지사항</t>
  </si>
  <si>
    <t>공지 유형 칩(전체/공지/소식) 추가</t>
  </si>
  <si>
    <t>기존 "공지·소식" → "공지사항" (IA·화면 표기 통일)</t>
  </si>
  <si>
    <t>S132</t>
  </si>
  <si>
    <t>공지사항 상세</t>
  </si>
  <si>
    <t>기존 "공지·소식상세" → "공지사항 상세"</t>
  </si>
  <si>
    <t>S129</t>
  </si>
  <si>
    <t>이벤트</t>
  </si>
  <si>
    <t>S130</t>
  </si>
  <si>
    <t>이벤트상세</t>
  </si>
  <si>
    <t>S128</t>
  </si>
  <si>
    <t>이용안내</t>
  </si>
  <si>
    <t>홈 하단 배너·회원가입 완료 화면에 진입 링크 추가 (더보기 내 유지)</t>
  </si>
  <si>
    <t>이용안내 탭 4종(계좌연결/거래시작/가디언이란?/가디언혜택)과 홈 빠른 안내 카드 4종(백년가게란/주문방법/가디언이란/가디언혜택)의 구성·명칭 불일치 · 4개 탭 모두 '준비 중'</t>
  </si>
  <si>
    <t>S133</t>
  </si>
  <si>
    <t>고객센터</t>
  </si>
  <si>
    <t>S134</t>
  </si>
  <si>
    <t>FAQ</t>
  </si>
  <si>
    <t>S135</t>
  </si>
  <si>
    <t>1:1 문의</t>
  </si>
  <si>
    <t>내 문의내역</t>
  </si>
  <si>
    <t>개인정보 처리 안내 표기: 팝업 → 바텀시트(R-01)</t>
  </si>
  <si>
    <t>[내 문의내역] 버튼 형태로 클릭시 MY&gt; 활동내역&gt; 문의내역으로 이동</t>
  </si>
  <si>
    <t>S136</t>
  </si>
  <si>
    <t>1:1 문의_팝업</t>
  </si>
  <si>
    <t>(화면구분) 팝업 → 바텀시트</t>
  </si>
  <si>
    <t>개인정보 처리 안내: 팝업 → 바텀시트(R-01)</t>
  </si>
  <si>
    <t>S137</t>
  </si>
  <si>
    <t>투자자 유의사항</t>
  </si>
  <si>
    <t>약관 및 정책 화면 하단 링크 진입점 추가</t>
  </si>
  <si>
    <t>금융소비자보호법 필수 고지. 기존 IA 누락항목 등재. 주문 진입 전 팝업 연동</t>
  </si>
  <si>
    <t>S142</t>
  </si>
  <si>
    <t>약관 및 정책</t>
  </si>
  <si>
    <t>더보기 / 정책 / 목록</t>
  </si>
  <si>
    <t>2Depth '정책' → '약관 및 정책' · 투자자 유의사항 바로가기 링크 추가</t>
  </si>
  <si>
    <t>S143</t>
  </si>
  <si>
    <t>서비스 이용약관</t>
  </si>
  <si>
    <t>더보기 / 정책 / 서비스이용약관 / 서비스이용약관</t>
  </si>
  <si>
    <t>2Depth '정책' → '약관 및 정책', 3Depth·4Depth 중복 명칭 정리</t>
  </si>
  <si>
    <t>S144</t>
  </si>
  <si>
    <t>개인정보 처리방침</t>
  </si>
  <si>
    <t>더보기 / 정책 / 개인정보처리방침 / 개인정보처리방침</t>
  </si>
  <si>
    <t>S145</t>
  </si>
  <si>
    <t>위치기반서비스 이용약관</t>
  </si>
  <si>
    <t>더보기 / 정책 / 위치기반서비스정책 / 위치기반서비스정책</t>
  </si>
  <si>
    <t>S146</t>
  </si>
  <si>
    <t>커뮤니티 운영정책</t>
  </si>
  <si>
    <t>더보기 / 정책 / 커뮤니티운영정책 / 커뮤니티운영정책</t>
  </si>
  <si>
    <t>S147</t>
  </si>
  <si>
    <t>회사소개</t>
  </si>
  <si>
    <t>S111</t>
  </si>
  <si>
    <t>알림</t>
  </si>
  <si>
    <t>전체</t>
  </si>
  <si>
    <t>체결류 [자세히 보기] 이동 대상: MY &gt; 내 자산 &gt; 주문 내역</t>
  </si>
  <si>
    <t>S148</t>
  </si>
  <si>
    <t>거래·자산</t>
  </si>
  <si>
    <t>S150</t>
  </si>
  <si>
    <t>검색</t>
  </si>
  <si>
    <t>검색 홈</t>
  </si>
  <si>
    <t>통합 검색 진입 화면 신규(R-07)</t>
  </si>
  <si>
    <t>홈·백년가게(탐색)·거래 1뎁스의 검색 영역에서 진입</t>
  </si>
  <si>
    <t>최근 검색어 로그아웃 시 삭제 여부 · 추천 목록 노출 기준</t>
  </si>
  <si>
    <t>S151</t>
  </si>
  <si>
    <t>검색 결과</t>
  </si>
  <si>
    <t>통합 검색 결과 화면 신규(R-07)</t>
  </si>
  <si>
    <t>세그먼트 [종목 N] [가게 N]</t>
  </si>
  <si>
    <t>비상장 백년가게를 검색 대상에 포함할지 여부</t>
  </si>
  <si>
    <t>메뉴별 상세 기능정의 v2</t>
  </si>
  <si>
    <t>파란 헤더(B~F열)는 '메뉴구조' 시트에서 화면ID로 자동 연동되는 값입니다(직접 수정 금지). 화면 추가 시 A열에 화면ID만 입력하세요.</t>
  </si>
  <si>
    <t>기능#</t>
  </si>
  <si>
    <t>기능 제목</t>
  </si>
  <si>
    <t>설명</t>
  </si>
  <si>
    <t>정책/주의사항</t>
  </si>
  <si>
    <t>변경 전 설명</t>
  </si>
  <si>
    <t>서비스 로고 (한국ST거래)</t>
  </si>
  <si>
    <t>- 앱 브랜드 로고와 서비스명 '한국ST거래'가 상단에 표시됨
- 스플래시 화면 내 정적 요소로 별도의 클릭/탭 인터랙션은 감지되지 않음
- 화면에서 감지된 링크/버튼 목록이 제공되지 않아 실제 이동 대상은 확인되지 않음</t>
  </si>
  <si>
    <t>메인 슬로건 문구</t>
  </si>
  <si>
    <t>- '당신의 일상이 가치가 되는 곳'이라는 브랜드 슬로건 텍스트
- 서비스의 정체성(투자계약증권 다자간상대매매 유통 앱)을 함축적으로 전달하는 문구로 추정됨
- 별도의 사용자 액션(입력/클릭)은 없는 순수 텍스트 요소</t>
  </si>
  <si>
    <t>일러스트레이션 (상점가 이미지)</t>
  </si>
  <si>
    <t>- 카페, 레스토랑, 뷰티샵, 마트 등 다양한 업종의 상점이 나란히 배치된 아이소메트릭 스타일 일러스트
- 하단에 디지털/네트워크 느낌의 발광 그래픽이 배치되어 '오프라인 가게'가 '디지털 자산(증권)'으로 연결됨을 상징적으로 표현한 것으로 추정됨 (약관상 '가게'·'종목' 개념과 연관 추정)
- 클릭/탭 등 인터랙션 요소로 보이지 않음</t>
  </si>
  <si>
    <t>로딩 진행률 표시 (%)</t>
  </si>
  <si>
    <t>- 현재 로딩 진행률을 숫자(%)로 표시 (캡처 시점 59%)
- 앱 초기 구동 시 리소스/데이터 로딩 진행 상태를 실시간으로 갱신하여 보여주는 요소로 추정됨
- 100% 도달 시 다음 화면(로그인 또는 메인)으로 자동 전환될 것으로 추정되나, 실제 전환 대상 화면은 이 캡처만으로는 확인 불가</t>
  </si>
  <si>
    <t>로딩 프로그레스 바</t>
  </si>
  <si>
    <t>- 위 진행률(%)에 대응하여 채워지는 가로형 진행 바
- 사용자 조작이 불가능한 상태 표시 전용 요소
- 로딩 완료 전까지 다른 화면으로의 진입(뒤로가기 등)이 제한될 가능성이 있으나 이 화면만으로는 확인 불가</t>
  </si>
  <si>
    <t>로딩 안내 문구</t>
  </si>
  <si>
    <t>- '최신 정보로 업데이트 중입니다.' 안내 텍스트
- 앱 실행 시 최신 시세/종목/공지 등 데이터를 서버에서 갱신하는 동안 사용자에게 대기를 안내하는 문구로 추정됨
- 로딩 실패(네트워크 오류 등) 시의 예외 처리 UI는 이 캡처에서 확인되지 않음</t>
  </si>
  <si>
    <t>진행 단계 표시</t>
  </si>
  <si>
    <t>- 화면 좌측 상단에 뒤로가기 버튼, 우측에 전체 3단계 중 현재 단계를 'N / 03' 형식으로 표시
- 그 아래 진행 바(주황색)가 현재 단계만큼 채워진다
- 회원가입은 약관동의(01) → 본인인증(02) → 회원정보 입력 등으로 이어지는 멀티스텝 폼이며, 뒤로가기를 누르면 이전 단계(첫 단계에서는 가입 진입 전 화면)로 돌아간다</t>
  </si>
  <si>
    <t>안내 타이틀</t>
  </si>
  <si>
    <t>'서비스 이용을 위한 약관에 동의해 주세요.' 2줄 안내 문구. 이 화면의 목적(약관 동의)을 굵은 글씨로 바로 인지시킨다.</t>
  </si>
  <si>
    <t>[필수] 전체동의 토글</t>
  </si>
  <si>
    <t>- 좌측 체크박스 + 우측 펼침/접힘 화살표(v)로 구성된 아코디언 헤더
- 체크하면 하위 4개 약관이 모두 체크되고, 화살표를 누르면 하위 항목 목록이 펼쳐지거나 접힌다(캡처는 펼쳐진 상태)
- '[필수]' 라벨대로 이 전체동의(=하위 4개 모두 동의)가 완료돼야 다음 단계로 진행할 수 있다</t>
  </si>
  <si>
    <t>이용약관 제4조②: '서비스에 가입하려는 사람은 본 약관에 동의하고, 회사가 요구하는 본인인증 절차를 완료하여야 한다' — 이 화면이 그 시작 지점이다.</t>
  </si>
  <si>
    <t>개별 약관 체크리스트 (4개)</t>
  </si>
  <si>
    <t>- [필수] 개인정보 수집·이용 동의 / [필수] 통신사 이용 약관 / [필수] 서비스 이용약관 / [필수] 투자자 유의사항, 총 4행
- 각 행은 체크박스 + 우측 '&gt;' 화살표로 구성되며, 화살표(또는 문구)를 누르면 해당 약관 전문이 뜨는 화면/바텀시트로 이동할 것으로 추정(현재 캡처만으로 상세 진입 UI는 확인 불가 — 실기기 검증 필요)
- 4개 모두 체크돼야 전체동의가 활성화되고 [다음] 버튼도 활성화된다</t>
  </si>
  <si>
    <t>'서비스 이용약관' 항목은 실제 이용약관 전문(제1~21조)과, '투자자 유의사항'은 AI매칭 비권유·수익률 참고용 등 투자자 보호 고지사항과 정확히 연결되는지 QA 필요.</t>
  </si>
  <si>
    <t>하단 [다음] 버튼</t>
  </si>
  <si>
    <t>- 화면 하단 고정 버튼
- 캡처 시점(전부 미체크)에는 비활성(회색)으로 보인다
- 필수 약관 4개가 모두 체크돼야 활성화되며, 누르면 다음 단계(02/03, 본인인증)로 이동할 것으로 추정된다
- 일부만 체크한 상태에서의 동작(비활성으로 클릭 자체가 막히는지, 클릭 시 안내 토스트가 뜨는지)은 실기기 확인 필요</t>
  </si>
  <si>
    <t>본인인증 실패 안내 아이콘</t>
  </si>
  <si>
    <t>- 경고(⚠) 표시가 있는 노트북 일러스트로, 본인인증 절차 중 오류가 발생했음을 시각적으로 알림
- 별도의 클릭/탭 동작 없는 순수 안내용 이미지</t>
  </si>
  <si>
    <t>실패 안내 타이틀</t>
  </si>
  <si>
    <t>- "본인인증에 실패했습니다." 굵은 글씨의 메인 안내 문구
- 회원가입 절차 중 본인인증(실명인증·휴대폰 인증 등) 처리 과정에서 오류가 발생했을 때 노출되는 전체화면 에러 상태로 추정됨</t>
  </si>
  <si>
    <t>실패 사유 및 재시도 안내 문구</t>
  </si>
  <si>
    <t>- "본인인증 중 오류가 발생했습니다." / "잠시 후 다시 시도해 주세요." 2줄의 보조 설명 텍스트
- 구체적인 실패 사유(통신사 인증 실패, 타임아웃 등)를 구분하지 않고 공통 안내 문구만 노출되는 것으로 보임
- 사용자에게 즉시 재시도를 유도하는 문구</t>
  </si>
  <si>
    <t>확인 버튼</t>
  </si>
  <si>
    <t>- 화면 하단 고정된 짙은 남색 배경의 전체 폭 버튼
- 감지된 href/이동 대상 정보가 없어 정확한 이동 경로는 확정할 수 없음
- 일반적인 에러 화면의 '확인' 버튼 패턴을 고려하면, 탭 시 이전 본인인증 입력 화면(또는 회원가입 시작 화면)으로 돌아가 재시도할 수 있도록 하는 동작으로 추정됨 (확정 아님)
- 별도 유효성검사 없이 단순 확인/닫기 액션으로 추정</t>
  </si>
  <si>
    <t>간편 인증으로 로그인 설정 카드</t>
  </si>
  <si>
    <t>- PIN 아이콘(****)과 '간편 인증으로 로그인' 텍스트가 표시된 선택형 카드
- 회원가입/로그인설정(생체) 화면 문맥상 간편 비밀번호(PIN) 또는 생체인증(지문·안면) 등록을 시작하는 진입 요소로 추정됨(화면에서 감지된 링크/버튼 목록이 제공되지 않아 실제 이동 대상은 스크린샷만으로 단정할 수 없음)
- 탭 시 기기에 등록된 생체정보 인식 또는 PIN 입력 화면으로 이어지는 것으로 보이며, 설정 완료 후 하단 [확인] 버튼이 활성화될 가능성이 있음
- 카드가 선택/미선택 토글 형태인지, 탭 즉시 별도 화면으로 이동하는 링크형인지는 스크린샷만으로 확정할 수 없음</t>
  </si>
  <si>
    <t>약관 제5조④에 따르면 간편인증(PIN·생체인증) 설정을 위해서는 별도의 본인인증 완료 후 신규 기기 등록 절차가 필요할 수 있음</t>
  </si>
  <si>
    <t>안내 타이틀 문구</t>
  </si>
  <si>
    <t>- '로그인, 더 쉽게 할 수 있어요.' / '간편 로그인 방식을 설정해주세요.' 2줄 굵은 텍스트
- 화면의 목적(간편 로그인 방식 설정)을 안내하는 순수 정보성 텍스트로, 클릭 동작 없음</t>
  </si>
  <si>
    <t>- 화면 하단 우측에 위치한 주요 액션 버튼
- 탭 시 위에서 설정한 간편 인증(생체인증/PIN) 방식을 저장하고 다음 화면(가입 완료 또는 로그인 흐름)으로 진행하는 것으로 추정됨
- 간편 인증 카드가 아직 설정되지 않은 초기 상태에서는 비활성(회색) 상태일 수 있으며, 설정 완료 시 활성화되는 형태로 보임(실제 활성화 조건은 스크린샷만으로 단정 불가)
- 필수 항목 미입력/미설정 시 탭해도 진행되지 않고 안내 메시지가 표시될 가능성 있음</t>
  </si>
  <si>
    <t>취소 버튼</t>
  </si>
  <si>
    <t>- 화면 하단 좌측에 위치한 보조 액션 버튼
- 탭 시 간편 로그인 방식 설정을 취소하고 이전 화면(가입 절차 또는 로그인 화면)으로 돌아가는 것으로 추정됨
- 별도의 확인 팝업 없이 즉시 취소 처리되는지는 스크린샷만으로 확인 불가</t>
  </si>
  <si>
    <t>뒤로가기 버튼</t>
  </si>
  <si>
    <t>- 좌상단 화살표(←) 아이콘
- 탭 시 직전 화면(회원가입 절차의 이전 단계)으로 돌아가는 내비게이션 버튼으로 추정됨
- 입력/선택 중이던 간편 인증 설정 내용은 저장되지 않고 소실될 가능성 있음</t>
  </si>
  <si>
    <t>간편 로그인 방식 변경 안내 문구</t>
  </si>
  <si>
    <t>- '※ 로그인 방식은 마이 &gt; 설정에서 언제든 바꿀 수 있어요.' 회색 보조 텍스트
- 현재 설정한 간편 로그인 방식이 이후 마이페이지 내 설정 메뉴에서 변경 가능함을 안내하는 정보성 텍스트
- 클릭 동작이 있는 링크형 텍스트인지, 단순 안내 문구인지는 스크린샷만으로 단정할 수 없음(밑줄 등 링크 스타일 없음 기준 단순 텍스트로 추정)</t>
  </si>
  <si>
    <t>로그인 방식(간편 비밀번호/생체인증)은 마이 &gt; 설정 메뉴에서 언제든 재변경 가능함을 명시</t>
  </si>
  <si>
    <t>다음 버튼 (하단 CTA)</t>
  </si>
  <si>
    <t>- 화면 하단에 고정된 전체 폭 버튼
- 탭 시 회원가입 다음 단계(또는 가입 완료 처리)로 이동하는 것으로 추정 — 이동 대상 href 정보가 감지되지 않아 정확한 목적지는 스크린샷만으로 단정할 수 없음
- 버튼 색상이 연한 회색으로 표시되어 있어, 자금출처 등 필수 항목(*) 미입력 상태에서는 비활성 처리되는 것으로 추정
- 필수 항목을 모두 입력해야 다음 단계 진행이 가능할 것으로 보임</t>
  </si>
  <si>
    <t>자금출처 선택 드롭다운</t>
  </si>
  <si>
    <t>- "선택해 주세요." 플레이스홀더가 표시된 필수 입력 항목(* 표시), 우측 화살표 아이콘으로 드롭다운/바텀시트 트리거임을 나타냄
- 탭 시 자금출처 선택 옵션(예: 근로소득, 사업소득, 재산소득 등)이 노출되는 선택 UI로 추정 — 구체적 옵션 목록은 스크린샷만으로 확인 불가
- 현재 값이 비어 있어 미입력 상태이며, 필수값이므로 선택하지 않으면 하단 [다음] 진행이 제한되는 것으로 추정</t>
  </si>
  <si>
    <t>회원가입 시 수집되는 투자정보 항목으로, 약관상 증권사 계좌 연동 및 투자자 성향 분석(제8조)과 연계되는 기초 정보로 추정됨</t>
  </si>
  <si>
    <t>투자목적 입력/선택 필드</t>
  </si>
  <si>
    <t>- "저축 및 투자" 값이 이미 채워져 있는 필수 항목(* 표시)
- 자금출처와 동일한 박스 스타일로, 텍스트 직접입력형인지 별도 선택형(드롭다운/바텀시트)인지는 스크린샷만으로 단정 불가하며 선택형일 가능성이 있음(추정)
- 필수 항목이므로 값이 비어 있으면 [다음] 진행이 제한될 것으로 추정</t>
  </si>
  <si>
    <t>직업 입력/선택 필드</t>
  </si>
  <si>
    <t>- "직장인(회사원)" 값이 이미 채워져 있는 필수 항목(* 표시)
- 위 두 항목과 동일한 UI 스타일로, 선택형 필드로 추정되며 정확한 입력 방식은 스크린샷만으로 확인 불가
- 필수 항목이므로 값이 비어 있으면 [다음] 진행이 제한될 것으로 추정</t>
  </si>
  <si>
    <t>화면 안내 타이틀</t>
  </si>
  <si>
    <t>- "투자를 위한 기본정보를 입력해주세요." 문구로, 본 화면이 회원가입 절차 중 투자정보(자금출처·투자목적·직업) 입력 단계임을 안내
- 순수 텍스트 요소로 별도의 클릭 동작은 없는 것으로 추정</t>
  </si>
  <si>
    <t>진행 단계 표시 (03/03)</t>
  </si>
  <si>
    <t>- 회원가입 정보 입력 절차의 총 3단계 중 마지막 단계(3/3)임을 나타내는 텍스트
- 상단의 진행 바가 전체 채워진 상태로 표시되어 마지막 입력 단계임을 시각적으로 안내
- 순수 표시 요소로 클릭 동작 없음</t>
  </si>
  <si>
    <t>뒤로가기 아이콘</t>
  </si>
  <si>
    <t>- 좌상단 화살표 아이콘
- 탭 시 이전 입력 단계(02/03)로 이동하는 것으로 추정 — 이동 대상 href 정보가 감지되지 않아 정확한 동작은 화면 흐름상 추정치임
- 이전 단계로 돌아갈 때 현재 입력값 유지 여부는 스크린샷만으로 확인 불가</t>
  </si>
  <si>
    <t>- 화면 좌측 상단의 화살표 아이콘
- 클릭 시 이전 단계(투자정보 입력 1)로 돌아감
- 입력 중이던 내용은 저장되지 않을 수 있음(별도 확인 팝업 여부는 미확인)</t>
  </si>
  <si>
    <t>- 회원가입 내 투자정보 입력 절차의 마지막 단계(3단계 중 3단계)임을 나타내는 텍스트 및 진행 바
- 사용자 조작 요소 아님, 단순 안내용 UI</t>
  </si>
  <si>
    <t>화면 타이틀</t>
  </si>
  <si>
    <t>- "투자를 위한 기본정보를 입력해주세요." 안내 문구
- 본 화면이 투자 목적의 기본정보(주소, 국적, 자금출처, 투자목적, 직업)를 수집하는 단계임을 명시</t>
  </si>
  <si>
    <t>주소검색 버튼</t>
  </si>
  <si>
    <t>- '자택 주소' 라벨 옆에 위치한 보조 버튼
- 클릭 시 우편번호/주소 검색 레이어(다음/카카오 우편번호 서비스 등으로 추정)가 열려 주소를 검색·선택할 수 있음
- 선택 시 하단 주소 표시 필드에 우편번호 및 도로명주소가 자동 입력되는 것으로 추정
- 필수 입력 항목으로 보이며 미입력 시 하단 '확인' 버튼 제출이 제한될 수 있음(추정)</t>
  </si>
  <si>
    <t>자택 주소 표시 필드</t>
  </si>
  <si>
    <t>- 주소검색을 통해 선택된 우편번호 및 도로명주소를 표시하는 읽기전용(비활성) 입력창으로 보임
- 예시: "[07326] 서울 영등포구 국제금융로 10"
- 직접 타이핑이 아닌 주소검색 버튼을 통해서만 값이 채워지는 구조로 추정</t>
  </si>
  <si>
    <t>상세주소 입력창</t>
  </si>
  <si>
    <t>- 도로명주소 하단의 상세주소(건물명, 동/호수 등) 입력 필드
- 현재 "여의"라는 텍스트가 입력 중인 상태로 캡처됨
- 자유 텍스트 입력, 최대 글자수 등 유효성 제약은 화면상 확인 불가</t>
  </si>
  <si>
    <t>국적 선택 필드 (필수)</t>
  </si>
  <si>
    <t>- 라벨 '국적' 옆 빨간 별표(*)로 필수 입력 항목임을 표시
- 현재 값 "내국인 (대한민국)"으로 기본 선택되어 있음
- 클릭 시 국적 선택 목록(내국인/외국인 등)이 열리는 선택형(select) 필드로 추정
- 약관상 만 19세 이상 국내 회원만 이용 가능하다는 가입 자격과 연계된 항목으로 추정</t>
  </si>
  <si>
    <t>만 19세 이상 국내 회원만 서비스 이용이 가능하며, 타인 정보 도용이나 허위 정보 제출 시 가입 거부 또는 이용계약 취소 대상이 될 수 있음(참고 약관 제4조)</t>
  </si>
  <si>
    <t>자금출처 선택 필드 (필수)</t>
  </si>
  <si>
    <t>- 라벨 '자금출처' 옆 빨간 별표(*)로 필수 입력 항목임을 표시
- 현재 값 "근로소득(급여)"으로 기본 선택되어 있음
- 클릭 시 자금출처 선택 목록(근로소득, 사업소득, 금융소득 등)이 열리는 선택형 필드로 추정
- 자본시장법상 투자자 정보 확인 절차의 일부로 보이며, 이후 투자자 성향 분석 및 소득적격회원 심사와 연계될 가능성 있음(추정)</t>
  </si>
  <si>
    <t>투자목적 선택 필드 (필수)</t>
  </si>
  <si>
    <t>- 라벨 '투자목적' 옆 빨간 별표(*)로 필수 입력 항목임을 표시
- 현재 값 "저축 및 투자"로 기본 선택되어 있음
- 클릭 시 투자목적 선택 목록이 열리는 선택형 필드로 추정</t>
  </si>
  <si>
    <t>직업 선택 필드 (필수)</t>
  </si>
  <si>
    <t>- 라벨 '직업' 옆 빨간 별표(*)로 필수 입력 항목임을 표시
- 현재 값 "직장인(회사원)"으로 기본 선택되어 있음
- 클릭 시 직업 선택 목록이 열리는 선택형 필드로 추정</t>
  </si>
  <si>
    <t>- 화면 하단 전체 폭의 진한 남색 버튼, 텍스트 "확인"
- 클릭 시 입력된 기본정보(주소, 국적, 자금출처, 투자목적, 직업)를 제출하고 다음 단계(회원가입 완료 또는 본인인증 등)로 이동하는 것으로 추정
- 필수 항목(국적, 자금출처, 투자목적, 직업 및 주소)이 모두 입력되지 않으면 비활성화되거나 제출 시 오류 안내가 표시될 것으로 추정
- 진행 단계 표시가 03/03이므로 이 단계가 투자정보 입력의 마지막이며, 제출 후 회원가입 절차가 완료되거나 다음 절차(계좌 연동 등)로 넘어갈 가능성이 있음(추정)</t>
  </si>
  <si>
    <t>- 좌측 상단 화살표 아이콘
- 탭 시 이전 화면(가입 절차 마지막 단계 또는 진입 이전 화면)으로 이동
- 감지된 href 정보 없음 — 스크린샷상 형태로 추정한 내용이며 실제 이동 대상은 별도 확인 필요</t>
  </si>
  <si>
    <t>가입 완료 체크 아이콘</t>
  </si>
  <si>
    <t>- 원형 배경 안에 체크 표시가 있는 완료 상태 아이콘
- 별도의 클릭 동작은 없는 순수 시각 요소로 추정됨(스크린샷만으로 추정, 단정 불가)
- 회원가입 절차가 정상적으로 완료되었음을 시각적으로 알림</t>
  </si>
  <si>
    <t>가입 완료 타이틀</t>
  </si>
  <si>
    <t>- "가입 완료!" 굵은 텍스트 헤드라인
- 순수 텍스트 요소로 클릭 동작 없음(스크린샷 기준 추정)</t>
  </si>
  <si>
    <t>가입 완료 서브 문구</t>
  </si>
  <si>
    <t>- "이제 투자할 준비가 됐어요." 안내 문구
- 순수 텍스트 요소로 클릭 동작 없음(스크린샷 기준 추정)
- 다만 약관상 실제 거래(구매·판매)가 가능하려면 증권사 계좌 연동 및 투자자 성향 분석 완료가 추가로 필요함</t>
  </si>
  <si>
    <t>회원가입만으로는 거래가 불가능하며, 증권사 계좌 연결과 투자자 성향 분석을 완료해야 구매·판매 거래가 가능합니다(제4조, 제6조, 제8조).</t>
  </si>
  <si>
    <t>투자 스타일 안내 카드 - 제목</t>
  </si>
  <si>
    <t>- "나에게 맞는 투자 스타일, 미리 알아볼까요?" 안내 카드 상단 텍스트
- 하단 일러스트 및 CTA 행과 함께 하나의 안내 카드를 구성
- 순수 텍스트 요소로 그 자체는 클릭 동작이 없는 것으로 추정(스크린샷 기준)</t>
  </si>
  <si>
    <t>투자 스타일 일러스트 이미지</t>
  </si>
  <si>
    <t>- 차트·동전·저금통 등을 형상화한 3D 일러스트 이미지
- 장식용 이미지로 추정되며 클릭 동작은 없을 것으로 보임(스크린샷만으로 추정, 단정 불가)</t>
  </si>
  <si>
    <t>지금 성향을 확인해볼까요? (투자자 성향 분석 진입 버튼)</t>
  </si>
  <si>
    <t>- "지금 성향을 확인해볼까요?" 텍스트와 "거래를 위해 꼭! 한번은 확인해야해요." 안내 문구, 우측 원형 화살표(&gt;) 버튼으로 구성된 카드형 CTA
- 감지된 href 정보는 없으나, 문구와 화면 흐름(가입완료 직후 유도) 및 서비스 정책상 투자자 성향 분석 화면으로 이동하는 버튼으로 추정됨(단정 불가, 실제 이동 대상 확인 필요)
- 탭 시 투자자 성향 분석(설문) 절차로 진입할 것으로 예상
- 성향 분석을 완료하지 않으면 이후 거래(구매·판매) 기능 이용이 제한됨</t>
  </si>
  <si>
    <t>거래를 시작하기 전 투자자 성향 분석을 완료해야 하며, 완료하지 않으면 거래 기능을 이용할 수 없습니다. 성향 분석은 2년마다 재실시해야 하며, 기간 내 미실시 시 거래 서비스 이용이 일시 제한될 수 있습니다(제8조).</t>
  </si>
  <si>
    <t>간편 로그인 설정 버튼</t>
  </si>
  <si>
    <t>- 하단 첫 번째 강조(진한 남색 배경) 버튼, 텍스트 "간편 로그인 설정"
- 감지된 href 정보 없음 — 문구상 간편 비밀번호(PIN) 또는 생체인증(지문·안면) 설정 화면으로 이동하는 버튼으로 추정됨(스크린샷 기준 추정, 단정 불가)
- 설정 완료 시 다음 로그인부터 PIN 또는 생체인증으로 간편하게 로그인 가능</t>
  </si>
  <si>
    <t>간편 비밀번호(PIN)는 서비스 이용 및 거래 승인을 위해 회원이 직접 설정하는 6자리 숫자이며, 생체인증은 기기에 등록된 지문·안면 정보를 활용한 로그인 방식입니다. 로그인은 1개 기기에서만 가능하며, 다른 기기에서 로그인하면 기존 기기의 로그인은 자동 해제됩니다(제5조).</t>
  </si>
  <si>
    <t>홈으로 이동 버튼</t>
  </si>
  <si>
    <t>- 하단 두 번째 버튼(흰 배경, 테두리), 텍스트 "홈으로 이동"
- 감지된 href 정보 없음 — 문구상 앱의 홈(메인) 화면으로 이동하는 버튼으로 추정됨(스크린샷 기준 추정, 단정 불가)
- 간편 로그인 설정을 건너뛰고 바로 서비스 메인 화면으로 진입하는 용도로 보임</t>
  </si>
  <si>
    <t>뒤로가기</t>
  </si>
  <si>
    <t>- 좌상단 화살표 아이콘 버튼
- 탭 시 이전 화면(직전 가입 단계)으로 돌아감
- 화면에서 감지된 링크/버튼 목록에 해당 요소가 없어 실제 이동 대상은 스크린샷상 추정이며 단정할 수 없음</t>
  </si>
  <si>
    <t>간편 로그인 설정 안내 타이틀</t>
  </si>
  <si>
    <t>- "로그인, 더 쉽게 할 수 있어요. 간편 로그인 방식을 설정해주세요." 문구
- 회원가입 절차 중 로그인 방식(간편 인증) 설정을 유도하는 안내 텍스트
- 별도의 클릭/입력 동작 없는 정보성 텍스트</t>
  </si>
  <si>
    <t>간편 인증으로 로그인 선택 박스</t>
  </si>
  <si>
    <t>- 좌측에 잠금/인증 아이콘(****)과 "간편 인증으로 로그인" 라벨이 있는 선택형 박스(현재 진한 테두리로 선택된 상태로 보임)
- 탭 시 간편 비밀번호(PIN) 또는 생체인증(지문·안면) 등 간편 인증 수단 등록 절차로 진입할 것으로 추정됨
- 화면에서 감지된 링크/버튼 목록에 해당 요소가 없어 실제 이동 대상(href)은 확인되지 않으며 스크린샷 기반 추정임
- 자본시장법 제5조에 따르면 로그인 방식은 아이디/비밀번호, 간편 비밀번호(PIN), 생체인증 3가지로 구분됨 — 이 화면은 그중 간편 인증 방식 설정 단계로 보임</t>
  </si>
  <si>
    <t>로그인 방식 변경 안내 문구</t>
  </si>
  <si>
    <t>- "※ 로그인 방식은 마이 &gt; 설정에서 언제든 바꿀 수 있어요." 안내 텍스트
- 별도 클릭 동작 없는 정책 고지성 문구로 추정됨(밑줄·색상 등 링크 스타일 미확인)
- 감지된 링크 목록에 없어 실제로 탭 가능한 요소인지는 단정할 수 없음</t>
  </si>
  <si>
    <t>로그인 방식은 가입 이후에도 마이페이지 &gt; 설정 메뉴에서 언제든지 변경 가능함을 고지</t>
  </si>
  <si>
    <t>- 하단 좌측 보조 버튼(흰 배경)
- 탭 시 간편 로그인 설정을 건너뛰고 이전 화면 또는 다음 가입 단계로 이동할 것으로 추정(스크린샷만으로 정확한 이동 대상 단정 불가)
- 감지된 링크/버튼 목록에 항목이 없어 실제 동작은 확인되지 않음</t>
  </si>
  <si>
    <t>- 하단 우측 메인 액션 버튼(진한 남색 배경, 강조)
- 선택된 간편 인증 방식으로 로그인 설정을 확정하고 다음 단계(예: PIN 등록 또는 생체인증 등록, 혹은 가입 완료)로 진행하는 액션으로 추정됨
- 감지된 링크/버튼 목록에 항목이 없어 실제 이동 대상(href)은 확인되지 않으며 스크린샷 기반 추정임
- 유효성검사: 상단의 간편 인증 옵션이 선택되지 않은 상태에서 탭 시 선택을 요구하는 안내가 표시될 가능성이 있음(화면상 확인 불가)</t>
  </si>
  <si>
    <t>"로그인하면 / 더 많은 기능을 이용할 수 있어요." 2줄 안내 문구
- 비로그인 상태로도 종목·가게 탐색, 공시, 공지 열람 등은 가능하지만 주문·찜·보유·알림·MY 등 개인화 기능은 로그인 후에만 쓸 수 있음을 안내한다</t>
  </si>
  <si>
    <t>아이디 입력</t>
  </si>
  <si>
    <t>- 텍스트 입력 필드. 값이 없으면 플레이스홀더가 보이고, 캡처에는 예시 아이디 'sto-test-10'이 입력된 상태
- 존재하지 않는 아이디이거나 형식이 틀리면 필드 아래 인라인 오류 문구(예: "아이디를 다시 확인해주세요.")가 노출된다</t>
  </si>
  <si>
    <t>비밀번호 입력</t>
  </si>
  <si>
    <t>- 마스킹(●●●) 처리된 텍스트 입력 필드 + 우측 눈 모양 아이콘으로 평문/마스킹 토글
- 값 미입력 또는 서버 인증 실패(아이디/비밀번호 불일치 등) 시 필드 아래 인라인 오류 문구로 사유를 안내한다</t>
  </si>
  <si>
    <t>서명 로그인 · 아이디 저장</t>
  </si>
  <si>
    <t>- '서명 로그인' 체크박스: 전자서명 기반 로그인 여부를 선택하는 옵션으로 보이며, 상세 동작은 이 캡처만으로는 확정할 수 없다
- '아이디 저장' 체크박스: 체크 후 로그인하면 다음 접속부터 아이디 입력칸에 값이 자동으로 채워진다</t>
  </si>
  <si>
    <t>계정 찾기 · 회원가입</t>
  </si>
  <si>
    <t>- '아이디 찾기', '비밀번호 찾기' 텍스트 링크 — 각각 계정 복구 플로우로 이동(본 캡처 범위 밖)
- '회원가입' 링크 — 신규 이용자가 이미 작성된 회원가입/약관 동의 플로우로 진입하는 경로</t>
  </si>
  <si>
    <t>다른 방법으로 로그인</t>
  </si>
  <si>
    <t>- 탭하면 현재 화면이 딤 처리되며 화면 하단에서 로그인 방법 선택 바텀시트가 올라온다
- 바텀시트에는 '간편 인증으로 로그인', '생체 인증으로 로그인' 두 옵션이 있어 아이디/비밀번호 입력 없이 로그인할 수 있는 대체 경로를 제공한다(다음 화면 참고)</t>
  </si>
  <si>
    <t>이용약관 제5조① 로그인 방법은 아이디/비밀번호, 간편 비밀번호(PIN), 생체인증(지문·안면) 세 가지로 정의되어 있다.</t>
  </si>
  <si>
    <t>로그인 버튼</t>
  </si>
  <si>
    <t>- 아이디·비밀번호 입력 후 탭하면 인증을 요청한다
- 성공 시 세션이 발급되고 로그인 전 화면 또는 홈으로 이동
- 실패 시 인라인 오류(아이디/비밀번호 문구) 또는 네트워크 오류 시 하단 토스트 "일시적인 오류가 발생했어요. 잠시 후 다시 시도해주세요."가 뜬다</t>
  </si>
  <si>
    <t>이용약관 제5조③ 로그인은 1개 기기에서만 가능하며, 다른 기기에서 로그인하면 이전 기기의 로그인은 자동으로 해제된다. 제5조⑤ 로그인 정보 관리 책임은 회원 본인에게 있으며 타인 공유로 인한 손해는 회사가 책임지지 않는다.</t>
  </si>
  <si>
    <t>배경 로그인 화면(딤 처리)</t>
  </si>
  <si>
    <t>- 이전 아이디/비밀번호 로그인 화면이 어둡게 딤 처리된 채 뒤에 깔려 있고 바텀시트가 그 위에 겹쳐 뜬다 — 화면 전환이 아니라 오버레이 방식
- 딤 영역을 탭하면 시트가 닫히고 원래 로그인 화면으로 복귀할 것으로 보인다(캡처만으로 확정 불가)</t>
  </si>
  <si>
    <t>시트 핸들</t>
  </si>
  <si>
    <t>바텀시트 상단의 드래그 인디케이터 — 아래로 스와이프하면 시트를 닫을 수 있다는 조작 힌트</t>
  </si>
  <si>
    <t>"로그인 방법을 선택하세요" — 아이디/비밀번호 외에 제공되는 로그인 수단을 고르라는 안내</t>
  </si>
  <si>
    <t>간편 인증으로 로그인</t>
  </si>
  <si>
    <t>- 좌측 아이콘 + '간편 인증으로 로그인' 텍스트 항목
- 탭하면 사전 등록된 간편 비밀번호(PIN) 입력 화면으로 이동해 숫자 PIN만으로 로그인하는 플로우로 이어질 것으로 보인다(본 캡처 범위 밖)</t>
  </si>
  <si>
    <t>이용약관 제3조③ 간편 비밀번호(PIN)는 간편 비밀번호 서비스 이용 및 거래 승인을 위해 회원이 직접 설정한 6자리 숫자 비밀번호로 정의된다.</t>
  </si>
  <si>
    <t>생체 인증으로 로그인</t>
  </si>
  <si>
    <t>- 좌측 지문/생체 아이콘 + '생체 인증으로 로그인' 텍스트 항목
- 탭하면 기기에 등록된 지문·Face ID 등 생체 인증을 호출하고, 인증에 성공하면 로그인 처리되는 플로우로 보인다
- 기기에 생체인증이 등록되어 있지 않은 경우의 처리(비활성/등록 안내 등)는 이 캡처만으로 확정할 수 없다</t>
  </si>
  <si>
    <t>이용약관 제3조④ 생체인증은 회원의 지문·안면 등 기기에 등록된 생체 정보를 활용해 로그인하는 인증 방식으로 정의되며, 제5조④에 따라 기기를 변경하거나 앱을 재설치한 경우 본인인증을 완료해야 신규 기기로 재등록해 사용할 수 있다.</t>
  </si>
  <si>
    <t>헤더 — 프로필칩·알림벨 (비로그인)</t>
  </si>
  <si>
    <t>- 좌측 로고, 우측 프로필칩·알림 벨 아이콘
- 비로그인 상태이므로 프로필칩은 사진없이 기본 회색 아이콘으로 표시되며, 탭하면 로그인 화면으로 이동
- 알림 벨은 노출되지만 로그인이 필요한 기능 — 비로그인 상태로 탭하면 로그인 게이트가 뜨고, 안읽음 개수 배지도 로그인 상태에서만 조회됨</t>
  </si>
  <si>
    <t>메인 배너</t>
  </si>
  <si>
    <t>- 서버가 노출 순서를 정한 배너를 좌우 스크롤로 최대 10개까지 노출(현재 페이지 인디케이터 '1/2'로 표시)
- 자동 넘김 없음 — 손으로 직접 밀어야 다음 배너 표시
- 노출 중인 배너가 0건이면 섹션 자체가 사라짐
- 배너 탭 시 각 배너에 지정된 목적지로 이동</t>
  </si>
  <si>
    <t>빠른 안내 카드 (백년가게란·주문방법·가디언이란·가디언혜택)</t>
  </si>
  <si>
    <t>- 원형 이미지 카드 4종, 이미지·위치 고정
- 각 이미지 클릭시 해당하는 페이지로 이동</t>
  </si>
  <si>
    <t>종목 목록 '가디언 픽'</t>
  </si>
  <si>
    <t>- 상장 종목만 조회(상장폐지 제외), 5개를 좌우 스크롤 카드로 노출
- 의도된 정렬은 '등락률 높은순'으로 노출 
- 카드 구성: 가게명·종목명·현재가·등락률·[주문]·찜(♡) 아이콘
- 비로그인 상태라 찜(♡)은 테두리만 있는 빈 하트로 표시 — 탭하면 로그인 게이트, [주문]은 화면은 열리되 제출 시점에 로그인 요구
- 카드 탭 → 종목 상세로 이동
- 의도된 정렬 기준은 '등락률 높은순'이지만, 서버가 정렬 조건을 아직 반영하지 않아 실제로는 '최근 상장순'으로 노출된다(알려진 제약, 참고: 10-home.md) — 그 결과 '새로운 종목' 섹션과 종목이 겹쳐 보일 수 있으며 이는 버그가 아니다</t>
  </si>
  <si>
    <t>가게 홍보 '지금 가장 핫한 가게'</t>
  </si>
  <si>
    <t>- 가게 3개를 좌우 스크롤로 노출, 가게당 종목 최대 2개를 하위 목록으로 표시(서버 노출 순서)
- 대형 이미지 카드: 가게명, 대표 문구, '혜택' 배지, 혜택 설명 문구, 우측 상단 관심(하트) 아이콘
- 하위 종목 행: 종목명·현재가·등락률·[주문]·찜(♡, 비로그인이라 빈 하트)
-&gt; [주문] 클릭시 해당 종목의 상세&gt; 주문 페이지로 이동 (동일함)
- 카드/종목 탭 → 각각 가게 상세/종목 상세로 이동</t>
  </si>
  <si>
    <t>관심 아이콘을 하트로 통일(R-12)</t>
  </si>
  <si>
    <t>- 가게 3개를 좌우 스크롤로 노출, 가게당 종목 최대 2개를 하위 목록으로 표시(서버 노출 순서)
- 대형 이미지 카드: 가게명, 대표 문구, '혜택' 배지, 혜택 설명 문구, 우측 상단 스크랩(북마크) 아이콘
- 하위 종목 행: 종목명·현재가·등락률·[주문]·찜(♡, 비로그인이라 빈 하트)
-&gt; [주문] 클릭시 해당 종목의 상세&gt; 주문 페이지로 이동 (동일함)
- 카드/종목 탭 → 각각 가게 상세/종목 상세로 이동</t>
  </si>
  <si>
    <t>신규 종목 '새로 올라왔어요'</t>
  </si>
  <si>
    <t>- 최근 상장순 3개, 세로 목록. 상장 종목만 조회
- 각 행: 가게명·종목명·현재가·등락률·[주문]·찜(♡, 비로그인이라 빈 하트)
- 헤더 우측 [더보기] → 거래 목록이 '최근 상장순' 필터링된 상태로 '거래&gt; 전체' 목록으로 이동</t>
  </si>
  <si>
    <t>- 서버 노출 순서로 최대 5개, 좌우 스크롤(자동 넘김 없음 — 손으로 밀어야 함)
- 노출 중인 이벤트가 0건이면 섹션 자체가 사라짐
- 카드 영역 카드 탭 → 이벤트 상세로 이동</t>
  </si>
  <si>
    <t>섹션명 '이벤트·혜택' → '이벤트'로 통일(더보기·백년가게 '혜택' 탭과 혼동 방지)</t>
  </si>
  <si>
    <t>지역 카드 — '내 주변 픽'</t>
  </si>
  <si>
    <t>- 등록된 지역 수만큼 칩 노출(서울·경기·인천·강원·대전 등) 되며, 백년가게 &gt; 내 주변(전체) / 지역 칩 탭 → 백년가게 &gt; 내 주변(해당 지역 지정)</t>
  </si>
  <si>
    <t>백년라운지</t>
  </si>
  <si>
    <t>- 가게 3개, 가게당 최신 글 3개(최신순) — 라운지 글이 0건이면 섹션 전체가 사라짐
- 카드 구성: 가게명(고요한상 등)·최신 글 미리보기·[더보기]
- [더보기] 버튼 클릭-&gt; 백년가게&gt; 가게상세&gt; 커뮤니티 목록 이동
- 글 미리보기 탭 → 그 종목의 커뮤니티로 이동 / 가게명 탭 → 그 가게 상세의 커뮤니티 탭으로 이동(서로 다른 목적지이므로 구분 필요)</t>
  </si>
  <si>
    <t>공지 띠 + 푸터</t>
  </si>
  <si>
    <t>- 공지 띠: 최신 공지 1건만 노출(예: '[공지][필수] 투자자 성향 분석 필수 안내'), 공지가 0건이면 섹션이 사라짐 — 탭 시 공지 상세로 이동
- 하단 푸터: 서비스 고지 문구('정보는 투자 참고용이며 실제와 차이가 있을 수 있고, 투자 결과의 법적 책임은 사용자에게 귀속'), [투자자 유의안내]·[개인정보처리방침]·[고객센터] 링크</t>
  </si>
  <si>
    <t>네비게이션 바</t>
  </si>
  <si>
    <t>- BottomNav(홈/백년가게/거래/MY/더보기) — 구성은 로그인 상태와 무관하게 5개 탭으로 동일하게 노출됨
- 참고
https://docs.google.com/spreadsheets/d/1fa8sG1Eb9tx7mB9CSHXREZesiIDnNWuP/edit?gid=443744823#gid=443744823</t>
  </si>
  <si>
    <t>검색 영역</t>
  </si>
  <si>
    <t>- 헤더 바로 아래에 검색 필드 1개('가게명·종목명을 검색해 보세요')를 배치한다. 필드는 콘텐츠와 함께 스크롤되어 사라진다
- 필드를 탭하면 검색 홈(S150)으로 이동하고 입력창이 자동 포커스된다
- 로그인 없이 사용 가능
- 공통 규칙 R-07</t>
  </si>
  <si>
    <t>검색 기능은 가게/종목 목록이 30건 이상인 경우 개발 반영 필요(기존 공통 메모)</t>
  </si>
  <si>
    <t>1뎁스 상단 검색 영역 신규(R-07)</t>
  </si>
  <si>
    <t>헤더 — 프로필칩·알림벨 (로그인 후·계좌 미연결)</t>
  </si>
  <si>
    <t>- 로그인 상태이므로 프로필칩이 기본 회색 아이콘 대신 닉네임 첫 글자('하')를 넣은 원형 컬러 배지로 바뀜(사진 등록 시 사진, 없으면 닉네임 첫 글자, 그것도 없으면 기본 아이콘 순)
- 프로필칩 탭 → MY 화면으로 이동
- 알림 벨: 로그인 상태이므로 안읽음 개수 표시(현재 0개 표시)</t>
  </si>
  <si>
    <t>계좌 연결 안내 띠</t>
  </si>
  <si>
    <t>- 로그인은 했으나 계좌 미연결 상태 — 3가지 상태 중 두 번째: 닉네임+계좌 연결 유도 문구가 띠 형태로 노출
- 띠 탭 → 계좌 연결 화면(/account/connect)으로 이동
- 연동 목록을 아직 받는 중인 구간에는 띠 자체가 숨겨진다 — 느린 네트워크에서 '계좌를 연결해 주세요' 문구가 잘못 스쳐 보이면 안 됨(QA 확인 포인트)
- 계좌를 연결하면 c1084b92483f(계좌연결 후) 화면처럼 '나의 자산' 요약으로 바뀜</t>
  </si>
  <si>
    <t>이용약관 제6조(증권사 계좌 연동 및 계좌 관리) — 계좌 연동은 회원의 CI 기준 동일인 확인 후 진행되며, 여러 증권사 계좌를 동시에 연동할 수 있다. 제2조 【회원 등급】② 일반회원(가입 단계) — 계좌 미연결 상태에서는 커뮤니티 등 기본 서비스만 이용 가능하고 구매·판매 거래는 불가.</t>
  </si>
  <si>
    <t>관심가게/ 관심종목 설정</t>
  </si>
  <si>
    <t>- 로그인 후 관심가게/ 관심종목 설정한 경우 채워진 아이콘으로 표시</t>
  </si>
  <si>
    <t>내 자산 띠 — '나의 자산' 요약 (계좌 연결 완료)</t>
  </si>
  <si>
    <t>- 3가지 상태 중 마지막 — 계좌 연결까지 완료된 상태로 카드형 자산 아이콘 + '나의 자산' 라벨 + 우측 '보유종목 7 &gt;' 노출
- 보유종목 수는 첫 응답 전에는 스켈레톤으로 표시되어 0으로 잘못 보이지 않으며, 재진입 시에도 마지막 값을 유지한 채 갱신됨(깜빡임 없음)
- 띠 탭 → MY &gt; 내 자산으로 이동</t>
  </si>
  <si>
    <t>내 자산 띠 탭 이동 대상 변경</t>
  </si>
  <si>
    <t>- 3가지 상태 중 마지막 — 계좌 연결까지 완료된 상태로 카드형 자산 아이콘 + '나의 자산' 라벨 + 우측 '보유종목 7 &gt;' 노출
- 보유종목 수는 첫 응답 전에는 스켈레톤으로 표시되어 0으로 잘못 보이지 않으며, 재진입 시에도 마지막 값을 유지한 채 갱신됨(깜빡임 없음)
- 띠 탭 → 거래 &gt; 보유 탭으로 이동</t>
  </si>
  <si>
    <t>상단 탭 3종 (탐색·내 주변·백년가게란?)</t>
  </si>
  <si>
    <t>- 탐색: 플랫폼에 상장된 가게 목록(서버에서 실시간 조회)
- 내 주변: 지도 위에 상장 가게 + 전국 백년가게(비상장 포함)를 함께 표시
- 백년가게란?: 백년가게 제도 자체를 소개하는 화면(앱에 내장된 고정 문안, 서버 조회 없음)
- 가게 상세로 이동했다 뒤로 오면 보고 있던 탭이 그대로 복원된다</t>
  </si>
  <si>
    <t>상장가게 건수·정렬·필터</t>
  </si>
  <si>
    <t>- '백년가게 N건'은 화면에 보이는 개수가 아니라 전체 건수
- 기본 정렬은 응원 많은순이며, 정렬 선택지는 응원 많은순·최근 상장순·오래된 가게순 3종(방향 고정)
- [필터]를 탭하면 하단 시트에서 지역·카테고리·정렬을 고를 수 있고, 선택 후 [적용] 클릭하면 목록이 다시 조회된다
- 목록을 화면 높이의 1.5배 이상 내리면 TOP 버튼이 나타나 탭하면 목록 맨 위로 이동한다
- (공통) 검색 기능은 가게/종목 목록이 30개 이상인 경우 개발 반영 필요</t>
  </si>
  <si>
    <t>가게 카드</t>
  </si>
  <si>
    <t>- 대표 이미지·가게명·카테고리·지속연도('N년' 배지, 없으면 배지 미표시)·주소(없으면 '주소 미등록')로 구성
- 첫 진입 시 10건이 보이고, 목록 끝에 닿으면 10건씩 자동으로 이어 붙는다([더보기] 버튼 없이 무한 스크롤)
- 카드를 탭하면 그 가게 상세(정보 탭)로 이동한다</t>
  </si>
  <si>
    <t>찜(♡) 버튼</t>
  </si>
  <si>
    <t>- 비로그인 상태에서 탭하면 로그인 안내가 뜨고, 로그인 후에만 사용할 수 있다
- 찜한 가게는 MY &gt; 관심 &gt; 관심가게 목록에서 모아볼 수 있다</t>
  </si>
  <si>
    <t>- 비로그인 상태에서 탭하면 로그인 안내가 뜨고, 로그인 후에만 사용할 수 있다
- 찜한 가게는 거래 &gt; 관심 &gt; 관심가게 목록에서 모아볼 수 있다</t>
  </si>
  <si>
    <t>- 백년가게 서브탭 중 '탐색' 탭 상단(가게 건수·정렬 행 위)에 검색 필드를 고정 노출한다. 목록을 아래로 스크롤하면 숨겨지고 위로 스크롤하면 다시 나타난다
- 필드를 탭하면 검색 홈(S150)으로 이동하며, 결과 화면의 기본 탭은 '가게'로 진입한다
- '내 주변'(지도)·'백년가게란?' 탭에서는 노출하지 않는다(확인 필요)
- 공통 규칙 R-07</t>
  </si>
  <si>
    <t>헤더(뒤로가기)</t>
  </si>
  <si>
    <t>- 좌측 ← 를 탭하면 이전 화면(백년가게 목록)으로 이동한다
- 스크롤하면 헤더에 흰 배경이 깔린다</t>
  </si>
  <si>
    <t>- 비로그인 상태에서 탭하면 로그인 안내가 뜬다
- 로그인 후 탭하면 서버 반영 후 가게 상세를 다시 조회해 하트가 바뀐다
- 찜한 가게는 MY &gt; 관심 &gt; 관심가게에서 모아볼 수 있다</t>
  </si>
  <si>
    <t>- 비로그인 상태에서 탭하면 로그인 안내가 뜬다
- 로그인 후 탭하면 서버 반영 후 가게 상세를 다시 조회해 하트가 바뀐다
- 찜한 가게는 거래 &gt; 관심 &gt; 관심가게에서 모아볼 수 있다</t>
  </si>
  <si>
    <t>가게 기본 정보</t>
  </si>
  <si>
    <t>- 대표 이미지 최대 5장을 좌우로 넘겨볼 수 있다(값이 없으면 기본 이미지)
- 카테고리(공통코드)·지속연도 'N년' 배지(없으면 배지 미표시)
- 연락처·주소(없으면 '주소 미등록')·설립일이 관리자 입력값 그대로 표시된다</t>
  </si>
  <si>
    <t>탭 4종 (정보·종목·커뮤니티·혜택)</t>
  </si>
  <si>
    <t>- 현재는 '정보' 탭이 선택된 상태
- 스크롤하면 탭 영역이 화면 상단에 고정된다
- 탭을 바꾸면 스크롤이 탭바 아래 위치로 초기화된다</t>
  </si>
  <si>
    <t>가게 설명</t>
  </si>
  <si>
    <t>- 관리자가 입력한 소개 문구가 그대로 표시된다</t>
  </si>
  <si>
    <t>위치정보 (지점 선택 + 지도)</t>
  </si>
  <si>
    <t>- 지점이 여러 개인 가게는 드롭다운으로 지점을 선택할 수 있고, 선택하면 지도가 그 지점으로 이동한다
- 드롭다운 아래에 주소가 별도로 다시 표시된다</t>
  </si>
  <si>
    <t>뉴스</t>
  </si>
  <si>
    <t>- 제목 옆 '총 N건'(골드색 숫자)은 관리자가 노출 설정한 기사 수이며, 목록에는 보도일 최신순으로 최신 3건만 보인다
- 기사 한 건에는 제목(최대 2줄)·보도일·언론사·썸네일이 표시되고, 값이 없으면 보도일·언론사는 '-', 썸네일은 회색 사각형으로 대체된다
- 총 4건 이상일 때만 [더보기]가 나타나며, 누르면 뉴스 전체 목록(10건씩 무한 스크롤)으로 이동한다
- 뉴스가 0건이면 '뉴스' 제목까지 통째로 화면에서 사라진다
- 기사를 탭하면 실기기에서는 휴대폰 기본 브라우저 앱으로 전환되고(iOS는 상태바 '◀ 한국ST거래'로 복귀, Android는 뒤로가기 제스처로만 복귀 가능), PC에서는 새 탭으로 열린다. 기사 주소가 등록되지 않은 기사는 눌러도 반응이 없다</t>
  </si>
  <si>
    <t>하단 탭바</t>
  </si>
  <si>
    <t>- 홈·백년가게·거래·MY·더보기 중 '백년가게'가 활성화된 상태로 유지된다</t>
  </si>
  <si>
    <t>종목 소개 배너</t>
  </si>
  <si>
    <t>- '변치않는 자산의 가치' 등 이 가게 종목에 대한 소개 문구가 표시되는 영역</t>
  </si>
  <si>
    <t>종목 카드 목록</t>
  </si>
  <si>
    <t>- 그 가게에 상장된 종목 전체가 페이징 없이 한 번에 표시된다(더보기 없음)
- 카드에는 종목명·현재가·등락률이 나오며, 정렬은 서버가 내려준 순서를 그대로 따른다
- 이 탭에 머무는 동안 현재가·등락률이 5초마다 자동 갱신된다(거래시간 외에는 갱신 요청은 되어도 값은 바뀌지 않는다)
- 종목이 0건이면 빈 상태 안내가 표시된다</t>
  </si>
  <si>
    <t>[주문] 버튼</t>
  </si>
  <si>
    <t>- 탭하면 그 종목 상세의 주문 탭으로 바로 이동한다
- 화면 진입 자체는 로그인이 필요 없으나, 실제 주문을 제출하는 시점에는 로그인이 필요하다</t>
  </si>
  <si>
    <t>찜(♡) — 종목 카드</t>
  </si>
  <si>
    <t>- 종목 카드를 탭하면 그 종목 상세로 이동하고, 카드 우측의 찜(♡)은 그 종목에 대한 개별 관심 등록이다(로그인 필요)</t>
  </si>
  <si>
    <t>가디언 필터 · 정렬 · 필터</t>
  </si>
  <si>
    <t>- '가디언' 체크박스를 켜면 그 종목을 보유한 회원(가디언)이 쓴 글만 볼 수 있다
- 기본 정렬은 최신순이며, 정렬 3종(최신순·좋아요순·댓글순) + 종목 필터(가게에 속한 종목 중 하나로 좁히기)를 [필터]에서 고를 수 있다
- 정렬·필터를 바꾸면 목록이 처음부터 다시 시작된다</t>
  </si>
  <si>
    <t>게시글 목록 (읽기 전용)</t>
  </si>
  <si>
    <t>- 이 가게에 속한 여러 종목의 글을 합쳐 최신순 10건씩 보여주며, 목록 끝에 닿으면 자동으로 다음 10건이 이어 붙는다
- 글쓰기 버튼이 없다 — 이 화면은 읽기 전용 모아보기이며 글 작성·수정·삭제·신고·좋아요·댓글은 여기서 할 수 없다
- 작성자는 마스킹 없는 닉네임 원문으로 표시된다</t>
  </si>
  <si>
    <t>종목 태그 배지</t>
  </si>
  <si>
    <t>- 글 상단의 배지(예: '본점 메밴건강식 신규사업 1호')는 그 글이 속한 종목명을 나타낸다</t>
  </si>
  <si>
    <t>게시글 탭 → 이동</t>
  </si>
  <si>
    <t>- 게시글 본문(더보기 포함)을 탭하면 그 종목의 커뮤니티 화면으로 이동하며 해당 글이 열린 상태로 표시된다
- 뒤로가기를 하면 다시 가게 상세(커뮤니티 탭)로 돌아온다</t>
  </si>
  <si>
    <t>혜택 준비중 안내</t>
  </si>
  <si>
    <t>- '혜택을 준비하고 있어요 / 가디언만의 특별한 혜택, 조금만 기다려주세요' 안내 문구와 빈 상태 아이콘만 표시된다
- 종목의 모든 가게 관리자에서 등록 시 정보 표시한다 (</t>
  </si>
  <si>
    <t>현위치(⊙) 버튼</t>
  </si>
  <si>
    <t>- 탭하면 위치 권한이 있을 때 내 위치로 지도 중심이 이동한다(권한 거부 시 안내 팝업)
- 최초 진입 시 GPS 허용이면 내 위치, 거부·대기 시 서울시청, 홈 지역 카드로 들어오면 그 지역 시청이 중심이 된다</t>
  </si>
  <si>
    <t>지도 마커</t>
  </si>
  <si>
    <t>- 숫자가 있는 원형 마커는 그 범위에 묶인 가게 수(클러스터)이며, 탭하면 그 범위로 확대된다
- 개별 매장 아이콘 마커는 상장 가게로, 탭하면 그 가게 상세로 이동한다
- 백년가게(비상장) 마커는 탭해도 상세로 가지 않고 '아직 상장되지 않았어요' 안내와 [상장 제안] 버튼이 뜬다 — 로그인은 [상장 제안]을 누르는 시점에만 요구된다
- 상장 가게는 한 번에 최대 1,000건, 백년가게는 지도에 보이는 범위에서 최대 3,000건까지 조회해 마커로 표시한다</t>
  </si>
  <si>
    <t>하단 시트 손잡이</t>
  </si>
  <si>
    <t>- 끌거나 탭하면 시트 높이가 접힘(20%)·기본(55%)·펼침(90%) 3단계로 전환된다</t>
  </si>
  <si>
    <t>주변 건수·필터</t>
  </si>
  <si>
    <t>- '주변 N곳'은 목록에 실제로 노출되는 상장+백년가게 합계(종류별 최대 200건 표시 제한 적용 후 수치)
- [필터]로 유형(전체/상장/백년가게)과 업종(음식, 도소매, 서비스 등)을 고를 수 있다
- 유형에서 '상장'만 선택하면 백년가게는 지도·목록에서 모두 사라진다</t>
  </si>
  <si>
    <t>가게 목록 (거리순)</t>
  </si>
  <si>
    <t>- 정렬은 거리순으로 고정되어있다
- 거리 기준은 '지도의 중심'이지 내 실제 위치가 아니다 — 지도를 옮기면 거리 값과 목록 순서가 함께 바뀐다
- 항목을 탭하면 지도 중심이 그 가게로 이동하고 빨간 핀으로 강조된다
- 상장 가게는 탭하면 상세로 이동하고, 백년가게(비상장)는 이름·위치·업종만 표시한다</t>
  </si>
  <si>
    <t>백년가게 소개</t>
  </si>
  <si>
    <t>- 백년가게 투자 상품의 취지를 설명하는 안내 페이지로 별도 기능은 없다</t>
  </si>
  <si>
    <t>거래 (하단 내비게이션, 현재 화면)</t>
  </si>
  <si>
    <t>- 하단 탭바의 [거래] 메뉴이며 현재 열려 있는 화면(href: /trade)으로 아이콘이 강조 표시되어 있음
- 탭하면 상장 종목 목록(이 화면)으로 이동(이미 위치한 경우 최상단으로 스크롤 이동하는 동작으로 추정)</t>
  </si>
  <si>
    <t>화면 성격 변경 반영</t>
  </si>
  <si>
    <t>- 하단 탭바의 [거래] 메뉴이며 현재 열려 있는 화면(href: /trade)으로 아이콘이 강조 표시되어 있음
- 탭하면 종목 전체/보유/관심 목록이 있는 이 화면으로 이동(이미 위치한 경우 최상단으로 스크롤 이동하는 동작으로 추정)</t>
  </si>
  <si>
    <t>종목 카드 (예: 화덕담 전주 리모델링 1호)</t>
  </si>
  <si>
    <t>- 가게 로고, 종목명, 현재가, 전일대비 등락률을 표시하는 리스트 아이템이며 상장종목 50건이 동일한 형태로 반복 노출됨
- 카드 본문을 탭하면 해당 종목의 상세 화면(정보 탭)으로 이동하는 것으로 추정 — URL 패턴 `/trade/{종목ID}`
- 종목명 뒤 "(B증권)" 표기는 해당 종목의 계좌관리기관(증권사)을 나타내는 것으로 추정
- 등락률 0.0%는 오늘 체결 내역이 없어 어제(또는 최근 거래일) 마지막 체결가와 동일함을 의미
- href 정보 없음(리스트 항목 클릭은 라우팅으로 동작하는 것으로 추정)</t>
  </si>
  <si>
    <t>현재가는 가장 마지막 체결가이며, 오늘 거래가 없으면 어제 마지막 체결가가 표시됨(전일대비 등락률도 동일 기준)</t>
  </si>
  <si>
    <t>주문 버튼</t>
  </si>
  <si>
    <t>- 각 종목 카드 우측의 [주문] 버튼으로, 탭하면 해당 종목의 주문(구매/판매) 화면으로 이동하는 것으로 추정
- 로그인 및 증권사 계좌 연결이 완료되어야 실제 주문 제출이 가능하며, 미완료 시 안내가 표시될 것으로 추정
- 투자자 성향 분석을 완료하지 않은 회원은 거래 기능 자체를 이용할 수 없는 것으로 추정
- href 정보 없음(동적 라우팅으로 추정)</t>
  </si>
  <si>
    <t>주문은 지정가 주문만 가능(시장가 주문 미제공)하며, 체결 금액의 0.1%가 유통 수수료로 부과됨. 입력 가격이 호가 단위에 맞지 않으면 하위 호가로 자동 보정됨</t>
  </si>
  <si>
    <t>관심종목 등록/해제 (하트 아이콘)</t>
  </si>
  <si>
    <t>- 카드 우측 끝의 하트 아이콘으로, 빈 하트(favorite)는 미등록, 채워진 하트(unfavorite)는 이미 관심종목으로 등록된 상태를 나타냄
- 탭할 때마다 등록↔해제가 토글되며, 등록한 종목은 MY &gt; 관심 &gt; 관심종목 및 필터의 '관심만' 보기에 반영
- 로그인이 필요한 기능으로 추정되며, 비로그인 상태에서 탭 시 로그인 안내가 표시될 것으로 추정
- href 정보 없음(동적 토글 동작)</t>
  </si>
  <si>
    <t>관심 종목 연결 위치 변경</t>
  </si>
  <si>
    <t>- 카드 우측 끝의 하트 아이콘으로, 빈 하트(favorite)는 미등록, 채워진 하트(unfavorite)는 이미 관심종목으로 등록된 상태를 나타냄
- 탭할 때마다 등록↔해제가 토글되며, 등록한 종목은 상단 [관심] 탭 목록에 반영되는 것으로 추정
- 로그인이 필요한 기능으로 추정되며, 비로그인 상태에서 탭 시 로그인 안내가 표시될 것으로 추정
- href 정보 없음(동적 토글 동작)</t>
  </si>
  <si>
    <t>정렬 트리거 · 관심만 칩</t>
  </si>
  <si>
    <t>- 목록 상단 행 좌측에 정렬 트리거(현재 정렬명+▾, 기본 '많이 오른순')를 두고, 탭하면 트리거 아래에 정렬 팝업(S149)이 뜬다
- 우측에 '♡ 관심만' 토글 칩을 둔다. 선택하면 관심 종목만 조회하며, 로그인 회원 전용이다(비로그인 탭 시 로그인 안내 다이얼로그, 선택은 적용되지 않음)
- '관심만' 결과가 0건이면 '관심 종목이 없어요' + 가장 많이 찜한 종목 추천을 표시한다(기존 관심종목 빈 상태와 동일)
- 별도의 필터 아이콘·필터 바텀시트는 두지 않는다(정렬만 있고 복수 선택 조건이 없으므로 R-02)</t>
  </si>
  <si>
    <t>필터 아이콘 삭제 → 정렬 팝업(S149) + '관심만' 토글 칩(R-02)</t>
  </si>
  <si>
    <t>- 목록 우측 상단의 [필터] 버튼으로, 탭하면 목록을 좁히는 조건(가격대, 등락, 업종 등으로 추정)을 선택하는 바텀시트가 열릴 것으로 추정
- 정확한 필터 항목 구성은 스크린샷만으로 확인되지 않음(추정)
- href 정보 없음, 적용 시 목록이 조건에 맞게 다시 로드되는 동적 동작으로 추정</t>
  </si>
  <si>
    <t>전체 탭 (현재 선택됨)</t>
  </si>
  <si>
    <t>- 거래 화면 내 종목 목록을 필터링하는 세 개의 탭(전체/보유/관심) 중 하나로 현재 활성화(밑줄 표시)된 상태
- 상장된 모든 종목을 노출하며 현재 "많이 오른순" 정렬이 적용된 것으로 보임
- href 정보 없음, 클릭 시 화면 내 목록만 갱신되는 동적 동작으로 추정</t>
  </si>
  <si>
    <t>세그먼트(전체/보유/관심) 제거 — 거래 화면은 종목 목록 단일 화면</t>
  </si>
  <si>
    <t>보유 / 관심 탭</t>
  </si>
  <si>
    <t>- [보유] 탭: 회원이 실제로 보유 중인 종목만 필터링하여 보여주는 것으로 추정 — 로그인 및 증권사 계좌 연결이 안 되어 있으면 빈 목록이 표시될 것으로 추정
- [관심] 탭: 각 종목 카드의 하트 아이콘으로 등록한 관심 종목만 모아 보여주는 것으로 추정
- 두 탭 모두 href 정보 없음(동적 탭 전환)</t>
  </si>
  <si>
    <t>세그먼트(전체/보유/관심) 제거 — 보유는 MY &gt; 내 자산, 관심은 MY &gt; 관심 및 필터 '관심만'으로 이동</t>
  </si>
  <si>
    <t>프로필 아이콘 ("하")</t>
  </si>
  <si>
    <t>- 화면 우측 상단의 원형 아바타 버튼으로 로그인한 회원 이름의 첫 글자("하")를 표시
- href 정보 없음(동적 동작으로 추정) — 탭 시 MY 화면 또는 계정 관련 메뉴로 이동할 가능성이 있음(추정)</t>
  </si>
  <si>
    <t>- 종 모양 아이콘 버튼으로, 공지사항·거래 체결·자격 만료 등 각종 알림 목록으로 진입하는 기능으로 추정
- href 정보 없음(동적 동작으로 추정)
- 읽지 않은 알림 뱃지 표시 여부는 이 스크린샷에서 확인되지 않음</t>
  </si>
  <si>
    <t>홈 (하단 내비게이션)</t>
  </si>
  <si>
    <t>- 하단 탭바의 [홈] 메뉴로, 탭하면 앱의 홈 화면(href: /home)으로 이동</t>
  </si>
  <si>
    <t>백년가게 (하단 내비게이션)</t>
  </si>
  <si>
    <t>- 하단 탭바의 [백년가게] 메뉴로, 탭하면 가게 목록/탐색 화면(href: /stores)으로 이동
- 지도 기반 "내 주변" 가게 탐색 등 가게 관련 기능의 진입점으로 추정</t>
  </si>
  <si>
    <t>MY (하단 내비게이션)</t>
  </si>
  <si>
    <t>- 하단 탭바의 [MY] 메뉴로, 탭하면 마이페이지 화면(href: /my)으로 이동
- 계좌 연동 관리, 기본 거래 계좌 변경, 차단 관리 등 개인화 기능으로 연결되는 진입점으로 추정</t>
  </si>
  <si>
    <t>- 헤더 바로 아래에 검색 필드를 고정 노출한다(종목 탐색이 주 목적이므로 스크롤 시 숨김, 위로 스크롤 시 재노출)
- 필드 탭 → 검색 홈(S150), 결과 화면 기본 탭은 '종목'
- 로그인 없이 사용 가능. 공통 규칙 R-07</t>
  </si>
  <si>
    <t>검색 기능은 가게/종목 목록이 30건 이상인 경우 개발 반영 필요(기존 공통 메모) — 현재 상장 종목 50건</t>
  </si>
  <si>
    <t>정렬 팝업</t>
  </si>
  <si>
    <t>- 목록 상단 정렬 트리거(현재 정렬명+▾) 탭 시 트리거 바로 아래에 뜨는 작은 팝업 카드(R-02). 라운드 카드+그림자, 딤 없음
- 항목 리스트: 현재 선택 항목에 체크 표시</t>
  </si>
  <si>
    <t>신규 화면</t>
  </si>
  <si>
    <t>정렬 옵션 (단일 선택)</t>
  </si>
  <si>
    <t>- 많이 오른순(기본) · 거래량 많은순 · 거래대금 높은순 · 시가총액 높은순 · 최근 상장순 · 가나다순 6종 — 기존 전체 탭 정렬과 동일
- 1개만 선택 가능</t>
  </si>
  <si>
    <t>선택·닫기 동작</t>
  </si>
  <si>
    <t>- 항목을 탭하면 즉시 적용되어 목록이 처음부터 다시 조회되고 팝업이 닫힌다(별도 [적용] 버튼 없음). 트리거 텍스트가 선택한 정렬명으로 바뀐다
- 팝업 바깥 영역 탭·기기 뒤로가기는 변경 없이 닫힌다</t>
  </si>
  <si>
    <t>헤더 + 탭 메뉴</t>
  </si>
  <si>
    <t>- 상단에 뒤로가기, 종목명('안동 리모델링 1호'), 현재가(5,900원)+등락률(+68.5%), 찜(♡) 아이콘
- 하단에 정보/주문/호가/차트/내주문/커뮤니티 6개 탭, 현재 '정보' 탭이 밑줄로 활성 표시
- 상단 현재가는 5초마다 자동 갱신된다</t>
  </si>
  <si>
    <t>메뉴명 변경에 따라 경로 자동 반영(메뉴구조 시트)</t>
  </si>
  <si>
    <t>투자 포인트</t>
  </si>
  <si>
    <t>- 서버 등록 마크다운 본문(5개 항목 리스트) + 혜택 카드(골드 배경, 점 목록: '발효 한상 시식권', '10% 할인') + 지도 카드(가게 위치 + 하단 주소 텍스트)
- 본문이 없으면 제목까지 생략되고, 혜택 미등록 시 카드가 사라지며, 주소·좌표 중 하나라도 없으면 지도 카드가 사라진다
- 배너 이미지가 있으면 좌우 스와이프 슬라이더 + 우하단 'n/N' 카운터가 뜨는데(1장이면 카운터 생략), 이 캡처에는 배너 이미지가 없다</t>
  </si>
  <si>
    <t>분배정보 + 예상분배금 계산기</t>
  </si>
  <si>
    <t>- 연 예상 분배율(4.92%, 서버값) / 월 예상 분배율(0.41%, 연분배율÷12를 소수 둘째자리까지 화면에서 계산) / 전월 분배금(개당 250원, 이력 없거나 0이면 '-') / 분배주기(3개월)
- 우측 [예상분배금 계산기] 버튼 → 바텀시트: 전월 분배금액(수정불가, 회색) × 수량(기본값 10, 직접 입력 가능) = 예상 총 분배금액(빨간 강조)
- 하단에 '※ 전월 분배금액 기준이므로 실제 분배금액과 차이가 있을 수 있습니다.' 주의 문구</t>
  </si>
  <si>
    <t>이용약관 제2조(분배금·분배율 정의), 제14조(수익률 산정 안내) — 여기 표시되는 수치는 회사가 이동평균법으로 자체 계산한 참고용이며 실제 정산 금액과 차이가 발생할 수 있음을 계산기 내 주의 문구로 고지.</t>
  </si>
  <si>
    <t>종목정보 + 문서</t>
  </si>
  <si>
    <t>- 기업명(가게명)/시가총액/액면가/발행수량/유통수량/상장일 6행 표
- 등록된 PDF 문서 목록(예: audit_report_1.pdf, 문서 없으면 영역 자체가 생략)
- 문서 행을 누르면 앱 내장 PDF 뷰어가 열린다(외부 다운로드 아님)
- 참고: 발행·유통공시가 모두 0건인 종목은 '⑤ 공시' 섹션 자체가 표시되지 않는다 — 이 캡처가 그 경우</t>
  </si>
  <si>
    <t>전월 개당 분배금 (접기/펼치기)</t>
  </si>
  <si>
    <t>- 기본은 '전월 개당 분배금 250원' 한 줄 + 화살표로 접힌 상태
- 펼치면 분배월/개당 분배금(원)/총 분배금(원) 3열 표(최근 3개월치만)
- 총 분배금 = 유통수량 × 개당 분배금(화면 계산)
- 기획서상 원래 '전월 확정 분배금 팝업'으로 정의됐으나 실제 구현은 본문 내 접기/펼치기이므로, 본 기능정의서는 실제 구현 기준으로 작성함</t>
  </si>
  <si>
    <t>같은 가게 종목</t>
  </si>
  <si>
    <t>- 같은 가게의 다른 종목 카드 목록(종목명·가격·등락 + 찜 + [주문])
- 카드를 탭하면 그 종목 상세로 이동하며 화면이 완전히 새로 초기화된다(정보 탭·스크롤 최상단)
- [주문] → 그 종목 주문 탭으로 바로 이동
- 찜 토글은 로그인이 필요, 나머지 열람은 비로그인도 가능
- 더보기 없이 서버가 내려준 전체 목록이 그대로 표시된다</t>
  </si>
  <si>
    <t>하단 CTA (판매하기 / 구매하기)</t>
  </si>
  <si>
    <t>- 화면 최하단 고정 버튼 2개 — [판매하기](파랑)/[구매하기](빨강)
- 누르면 해당 방향 주문 탭으로 이동하며, 제출 시점에 로그인·계좌 연결 여부가 확인된다(정보 탭 열람 자체는 비로그인도 가능)</t>
  </si>
  <si>
    <t>분배정보 섹션 배경 — 연/월 예상 분배율·전월 분배금</t>
  </si>
  <si>
    <t>- 연 예상 분배율(개당)은 서버 값, 월 예상 분배율은 연 분배율 ÷ 12(소수 둘째 자리, 화면 계산)
- 전월 분배금(개당)은 분배 이력 중 가장 최근 달의 개당 금액 — 없거나 0이면 '-' 표시</t>
  </si>
  <si>
    <t>이용약관 제2조 5항(정의): 분배율은 증권신고서에 기재된 분배 비율로 월 및 연간 기준으로 표기한다(예: 월 3%, 연 36%).</t>
  </si>
  <si>
    <t>[예상분배금 계산기] 버튼</t>
  </si>
  <si>
    <t>- 버튼을 누르면 하단에서 계산기 바텀시트가 올라온다</t>
  </si>
  <si>
    <t>전월 분배금액 (회색, 수정 불가)</t>
  </si>
  <si>
    <t>- 정보 탭에 표시된 전월 개당 분배금이 그대로 채워지며 수정할 수 없다(회색 비활성 입력칸)</t>
  </si>
  <si>
    <t>수량 입력 — 기본값 10</t>
  </si>
  <si>
    <t>- 숫자 입력 필드, 기본값은 10
- 수량을 바꾸면 아래 예상 총 분배금액이 즉시(전월 분배금액 × 수량으로) 재계산된다</t>
  </si>
  <si>
    <t>예상 총 분배금액 (빨강 강조)</t>
  </si>
  <si>
    <t>- 전월 분배금액 × 수량으로 화면에서 직접 계산한 값을 빨간색으로 강조 표시</t>
  </si>
  <si>
    <t>이용약관 제2조 4항: 분배금은 종목의 기초자산(가게)에서 발생한 매출에 증권신고서 기재 분배율을 곱해 산출되며 보유 수량에 비례해 지급된다 — 이 계산기 값은 전월 실적 기준 추정치일 뿐 확정 분배금이 아니다.</t>
  </si>
  <si>
    <t>주의 문구</t>
  </si>
  <si>
    <t>- '※ 전월 분배금액 기준이므로 실제 분배금액과 차이가 있을 수 있습니다.' 안내 — 계산기 값이 확정 분배금이 아님을 명시</t>
  </si>
  <si>
    <t>헤더 — 뒤로가기 + 화면 제목 '공시'</t>
  </si>
  <si>
    <t>- 헤더에 뒤로가기 화살표와 화면 제목 '공시'를 표시한다(기존: 제목 없음)
- 뒤로가기를 누르면 종목 상세로 돌아간다</t>
  </si>
  <si>
    <t>헤더에 화면 제목 표시(알려진 제약 U-34 해소)</t>
  </si>
  <si>
    <t>- 헤더에 제목이 표시되지 않고 뒤로가기 화살표만 있다(알려진 제약 U-34 — '공시' 타이틀이 렌더되지 않는 구조)
- 뒤로가기를 누르면 종목 상세로 돌아간다</t>
  </si>
  <si>
    <t>세그먼트 — 발행공시 / 유통공시</t>
  </si>
  <si>
    <t>- 정보 탭의 공시 섹션 [더보기]로 들어오면 그 탭(발행/유통)이 선택된 채 열린다
- 탭을 바꿔도 URL은 바뀌지 않아 뒤로가기로 탭만 복귀할 수는 없다</t>
  </si>
  <si>
    <t>공시 목록 항목 — 제목(1줄 말줄임) + 날짜</t>
  </si>
  <si>
    <t>- 항목을 누르면 공시 상세 페이지(전체 화면 이동, 별도 URL)로 이동한다
- 한 번에 최대 100건만 로드되며 [더보기]·무한스크롤이 없다 — 100건 초과분은 열람 불가
- 정렬 기준은 서버 순서(문서상 미확인)</t>
  </si>
  <si>
    <t>공시 상세 진입 방식: 오버레이 → 페이지(R-01)</t>
  </si>
  <si>
    <t>- 항목을 누르면 오른쪽에서 상세가 오버레이로 밀려 들어온다(별도 URL 아님)
- 한 번에 최대 100건만 로드되며 [더보기]·무한스크롤이 없다 — 100건 초과분은 열람 불가
- 정렬 기준은 서버 순서(문서상 미확인)</t>
  </si>
  <si>
    <t>로딩 표시 없음 / 빈 상태</t>
  </si>
  <si>
    <t>- 목록 로딩 중 별도 표시가 없어 느린 네트워크에서는 빈 목록처럼 보일 수 있다
- 공시가 0건인 종목은 '공시가 없어요' 안내
- 비로그인 상태에서도 열람 가능</t>
  </si>
  <si>
    <t>뒤로가기(←)</t>
  </si>
  <si>
    <t>- 헤더 좌측 ← 를 누르면 공시 목록으로 복귀한다(기존 우상단 [닫기] X 오버레이 방식 → 페이지 이동 방식)
- 기기 뒤로가기도 동일하게 목록으로 복귀한다(기존: 화면 자체를 이탈하던 제약 해소)</t>
  </si>
  <si>
    <t>오버레이 닫기(X) → 페이지 뒤로가기(←)로 변경(R-01)</t>
  </si>
  <si>
    <t>- 오버레이를 닫고 공시 목록으로 돌아간다
- 기기 뒤로가기를 누르면 오버레이만 닫히지 않고 화면 자체를 이탈한다(알려진 제약)</t>
  </si>
  <si>
    <t>제목 + 날짜</t>
  </si>
  <si>
    <t>- 공시 제목(가게명 태그 포함)과 등록 날짜(yyyy.mm.dd)를 상단에 표시</t>
  </si>
  <si>
    <t>본문 — 공인회계사 확인서 전문</t>
  </si>
  <si>
    <t>- 줄바꿈이 보존된 본문 텍스트로 표시(서버 등록 원문 그대로)
- 확인 대상 발행인·종목, 확인 일자, 담당 공인회계사·소속 법인, 확인 목적·범위·방법, 재무자료 적정성 검토 결과 등 회계 확인서 형식의 내용을 담는다</t>
  </si>
  <si>
    <t>첨부파일(PDF) — 본문 하단(스크롤 필요)</t>
  </si>
  <si>
    <t>- 문서 정의상 본문 아래에 첨부파일(PDF) 목록이 있으며 앱 안 뷰어로 열린다(이 캡처 범위 밖, 스크롤 시 확인)</t>
  </si>
  <si>
    <t>- 발행공시 목록과 동일하게 뒤로가기 + 화면 제목 '공시'를 표시한다</t>
  </si>
  <si>
    <t>헤더에 화면 제목 표시(U-34 해소)</t>
  </si>
  <si>
    <t>- 발행공시 목록과 동일하게 화면 제목이 없다(U-34)</t>
  </si>
  <si>
    <t>세그먼트 — 유통공시 선택됨</t>
  </si>
  <si>
    <t>- 발행 이후 지속적으로 등록되는 유통 단계 공시를 모아 보여준다(이익배분내역보고서·특수관계인 거래·분쟁조정·담보 제공·이익배분 영향 등)</t>
  </si>
  <si>
    <t>이익배분내역보고서 항목 — 동일 제목 반복</t>
  </si>
  <si>
    <t>- 같은 제목('이익배분내역보고서')이 분배 차수별로 여러 건 등록될 수 있다(목록에서 날짜만으로는 구분이 어려울 수 있음)
- 항목을 누르면 유통공시 상세 페이지(전체 화면 이동)로 이동한다</t>
  </si>
  <si>
    <t>- 같은 제목('이익배분내역보고서')이 분배 차수별로 여러 건 등록될 수 있다(목록에서 날짜만으로는 구분이 어려울 수 있음)
- 항목을 누르면 유통공시 상세 오버레이가 열린다</t>
  </si>
  <si>
    <t>타인을 위한 담보/특수관계인 공시 항목</t>
  </si>
  <si>
    <t>- 발행인의 담보 제공, 특수관계인 거래 등 회원의 투자 판단에 영향을 줄 수 있는 사후 공시가 이 탭에 모인다
- 한 번에 최대 100건 단발 로드, 더보기 없음</t>
  </si>
  <si>
    <t>2026년도 회계… 공시 항목</t>
  </si>
  <si>
    <t>- 연간 회계 관련 유통공시도 이 목록에 포함된다
- 로딩 표시가 없어 느린 네트워크에서는 빈 목록처럼 보일 수 있음</t>
  </si>
  <si>
    <t>- 닫으면 유통공시 목록으로 복귀, 기기 뒤로가기는 화면 자체를 이탈한다</t>
  </si>
  <si>
    <t>제목/날짜 — 분배 차수 명시</t>
  </si>
  <si>
    <t>- 제목에 종목명과 '제2차'처럼 분배 차수가 명시된다</t>
  </si>
  <si>
    <t>분배 기준일 / 지급예정일 / 분배대상수량</t>
  </si>
  <si>
    <t>- 분배 기준일(2028.11.30), 분배금 지급 예정일(2028.12.14), 분배 대상 수량(33,600개, 기준일 현재 유통 수량) 명시</t>
  </si>
  <si>
    <t>분배금 산정 내역 — 기본분배율·개당분배금(세전/세후)·원천징수세율</t>
  </si>
  <si>
    <t>- 기본 분배율(연 5.4%, 월 0.45%), 개당 분배금 세전(907원)·세후(767원), 전회 대비 등락(+12.0%), 원천징수세율(15.4%), 총 지급 예정액(세전 30,475,200원)을 모두 명시
- 세전/세후 금액을 함께 노출해 정보 탭·계산기의 '전월 분배금(세전 추정)'과 실제 세후 수령액 차이를 확인할 수 있다</t>
  </si>
  <si>
    <t>이용약관 제2조 4항 및 제16조: 분배금은 기초자산 매출에 증권신고서 기재 분배율을 곱해 산출되며, 판매 수익 및 분배소득에 대한 세금은 증권사 정책에 따라 원천징수 처리된다(플랫폼은 원천징수 여부를 직접 확인할 수 없음).</t>
  </si>
  <si>
    <t>전회 대비 변동 사유 · 영업 현황 요약</t>
  </si>
  <si>
    <t>- 분배금이 전회 대비 변동한 사유(영업 매출 호조·운영비 절감 등)와 당기 영업 현황(정상 영업 유지, 이상감지 상태: 정상)을 서술형으로 안내</t>
  </si>
  <si>
    <t>헤더 — 종목 요약 · 모드전환 · 찜</t>
  </si>
  <si>
    <t>- 종목명(전주 리모델링 1호 (B증권)) · 현재가 5,000원 · 등락률 0.0% 축소 요약이 헤더 중앙에 표시
- 현재가는 5초 주기로 자동 갱신(숫자 굴림 애니메이션)
- 우측 아이콘: 간편↔일반 모드 전환(막대 아이콘) · 찜(♡, 로그인 필요)</t>
  </si>
  <si>
    <t>탭바</t>
  </si>
  <si>
    <t>- 정보 / 주문 / 호가 / 차트 / 내주문 / 커뮤니티 6개 탭, 현재 화면은 "주문" 탭 선택 상태(밑줄 표시)
- 내주문 탭만 로그인(+계좌연결) 필요, 나머지는 비로그인 열람 가능</t>
  </si>
  <si>
    <t>구매/판매/대기 세그먼트</t>
  </si>
  <si>
    <t>- 3분할 토글: 구매(빨강) / 판매(파랑) / 대기(미체결 목록)
- 이 화면은 "구매" 선택 상태
- 색상은 한국 금융 관습(상승·매수=빨강, 하락·매도=파랑)을 따름</t>
  </si>
  <si>
    <t>구매 희망가 입력</t>
  </si>
  <si>
    <t>- "AI매칭" 텍스트 링크 + ⓘ 툴팁이 라벨 옆에 배치 — 누르면 AI매칭 모드(직접 가격 미지정)로 전환
- 값(5,000원)은 화면 진입 시 최신 시세로 자동 채워짐, +/- 버튼으로 조정
- 입력 중에는 시세가 갱신돼도 값이 바뀌지 않음(사용자 입력 보호)</t>
  </si>
  <si>
    <t>지정가 주문만 가능하며 호가 단위는 자동 보정됨(제12조)</t>
  </si>
  <si>
    <t>수량 입력</t>
  </si>
  <si>
    <t>- 미입력 시 placeholder "몇개를 구매할까요?" 표시
- 하단에 "주문가능 {금액}원 · 최대 {개수}개 ⓘ" 안내 — 예수금 중 잠기지 않은 가용 금액 기준으로 추정</t>
  </si>
  <si>
    <t>숫자 키패드</t>
  </si>
  <si>
    <t>- 1~9 · 0 · 초기화(전체 삭제) · 삭제(⌫) 로 수량 입력
- 가격은 이 키패드가 아닌 희망가 필드의 +/- 버튼으로만 조정</t>
  </si>
  <si>
    <t>하단 CTA — 호가 / 구매하기</t>
  </si>
  <si>
    <t>- [호가]: 호가창으로 진입(가격 참고·선택)
- [구매하기]: 수량 미입력 시 옅은 색으로 비활성 표시, 입력 완료 시 진한 빨강으로 활성화
- 누르면 거래시간→로그인→계좌연결→거래정지→투자성향→소득적격→틱보정→한도 순 게이트를 지나 확인 바텀시트으로 이동</t>
  </si>
  <si>
    <t>주문 확인 표시 방식 팝업 → 바텀시트 표기 통일(R-01)</t>
  </si>
  <si>
    <t>- [호가]: 호가창으로 진입(가격 참고·선택)
- [구매하기]: 수량 미입력 시 옅은 색으로 비활성 표시, 입력 완료 시 진한 빨강으로 활성화
- 누르면 거래시간→로그인→계좌연결→거래정지→투자성향→소득적격→틱보정→한도 순 게이트를 지나 확인 팝업으로 이동</t>
  </si>
  <si>
    <t>구매 희망가</t>
  </si>
  <si>
    <t>5,000원 값 유지, +/- 버튼으로 조정 가능한 상태</t>
  </si>
  <si>
    <t>수량 — 1개 입력 완료</t>
  </si>
  <si>
    <t>- 수량 "1"개로 입력됨
- "주문가능 59,974,905원 · 최대 11,982개" 안내 — 값 입력에 따라 실시간 갱신</t>
  </si>
  <si>
    <t>수량 비율 단축 버튼</t>
  </si>
  <si>
    <t>- 10% / 25% / 50% / 최대 버튼
- 누르면 주문가능 금액 기준으로 최대 구매 가능 수량의 해당 비율을 자동 계산해 수량 필드에 채움</t>
  </si>
  <si>
    <t>구매하기 버튼 — 활성화</t>
  </si>
  <si>
    <t>수량 입력 완료로 버튼이 진한 빨강으로 활성화됨. 누르면 구매주문 확인 바텀시트이 뜬다</t>
  </si>
  <si>
    <t>수량 입력 완료로 버튼이 진한 빨강으로 활성화됨. 누르면 구매주문 확인 팝업이 뜬다</t>
  </si>
  <si>
    <t>바텀시트 헤더</t>
  </si>
  <si>
    <t>가게명(노을다반, 작은 글씨) · 종목명(서귀포 리모델링 1호) · 타이틀 "1개 구매주문"</t>
  </si>
  <si>
    <t>- 개당 금액 4,900원
- 주문 수량 1개
- 총 주문금액 4,900원</t>
  </si>
  <si>
    <t>구매 주문 접수 시 총 주문금액에 수수료를 더한 금액만큼 예수금이 잠기며, 주문 취소 시 즉시 해제됨(제15조)</t>
  </si>
  <si>
    <t>하단 버튼</t>
  </si>
  <si>
    <t>[취소] / [구매하기](빨강, 확정 시 주문 접수). 바텀시트이 떠 있는 동안 기기 뒤로가기·탭 이동은 막힌다</t>
  </si>
  <si>
    <t>[취소] / [구매하기](빨강, 확정 시 주문 접수). 팝업이 떠 있는 동안 기기 뒤로가기·탭 이동은 막힌다</t>
  </si>
  <si>
    <t>완료 타이틀</t>
  </si>
  <si>
    <t>가게명(노을다반) · 종목명(서귀포 리모델링 1호) · "구매 주문완료" — 접수 완료를 의미하며 체결 확정과는 별개
- 표시 방식: 전체 페이지(결과 화면) — 기존 팝업에서 변경(R-01, 일반 주문 완료와 동일). 기기 뒤로가기는 주문 폼(입력값 초기화)으로 복귀</t>
  </si>
  <si>
    <t>주문 유효기간은 접수일로부터 30일이며, 이 화면은 접수 완료를 나타낼 뿐 체결을 보장하지 않음(제13조)</t>
  </si>
  <si>
    <t>주문 완료 표시 방식: 팝업 → 전체 페이지(결과 화면)(R-01)</t>
  </si>
  <si>
    <t>가게명(노을다반) · 종목명(서귀포 리모델링 1호) · "구매 주문완료" — 접수 완료를 의미하며 체결 확정과는 별개</t>
  </si>
  <si>
    <t>- 개당 금액 4,900원
- 주문 수량 1개
- 총 구매금액 4,900원</t>
  </si>
  <si>
    <t>[닫기](주문 폼으로 복귀) / [주문내역](남색, 내주문 내역으로 이동 추정)</t>
  </si>
  <si>
    <t>구매 희망가 필드 — AI매칭 모드(비활성)</t>
  </si>
  <si>
    <t>- placeholder "가장 유리한 가격으로 주문"으로 표시되고 직접 가격 입력은 불가(회색 처리)
- 직접가격 화면과 달리 이 필드는 읽기 전용</t>
  </si>
  <si>
    <t>AI매칭은 투자 권유가 아니며, 시스템이 그 시점에 가장 유리한 가격으로 매칭을 시도함(제12조)</t>
  </si>
  <si>
    <t>예상 체결 내역 (상시 노출 영역)</t>
  </si>
  <si>
    <t>- 수량 입력 필드 아래에 '예상 체결 내역' 영역을 입력 전부터 고정 높이로 상시 노출한다(기존: 수량 입력 후 우측에 '예상 체결 내역' 링크가 새로 생겨 레이아웃이 밀리고 '최대' 버튼과 겹치던 문제 해소)
- 수량 미입력: '수량을 입력하면 예상 체결 내역을 보여드려요' 안내(회색)
- 수량 입력 시 실시간(디바운스 300ms) 갱신: 예상 평균 체결가 · 예상 총 주문금액 · 체결 가능 수량
- 호가 구간별 내역(개당금액/수량/금액)은 영역 안 [자세히] 텍스트 버튼으로 같은 영역에서 펼침·접힘(우측 정렬 링크·chevron 삭제)
- 공통 규칙 R-06</t>
  </si>
  <si>
    <t>AI매칭은 투자 권유가 아니며 실제 체결가는 접수 시점 호가에 따라 달라질 수 있음(제12조③) — 영역 하단에 고정 문구로 노출</t>
  </si>
  <si>
    <t>'주문예정내역' 링크 → '예상 체결 내역' 상시 노출 영역(R-06) / 명칭 통일: '주문예정내역' → '예상 체결 내역'(R-06)</t>
  </si>
  <si>
    <t>우측 드롭다운(∨) 링크 — 펼치면 예상 체결 내역/가격대 미리보기로 추정(직접가격 화면에는 없는 AI매칭 전용 요소)</t>
  </si>
  <si>
    <t>수량 · 비율 단축 버튼</t>
  </si>
  <si>
    <t>- 수량 1개, 주문가능 59,970,001원
- 10%/25%/50%/최대 단축 버튼으로 자동 수량 계산은 직접가격 화면과 동일</t>
  </si>
  <si>
    <t>구매하기 버튼</t>
  </si>
  <si>
    <t>누르면 AI매칭 전용 확인 바텀시트(동의 절차 포함)으로 진입</t>
  </si>
  <si>
    <t>누르면 AI매칭 전용 확인 팝업(동의 절차 포함)으로 진입</t>
  </si>
  <si>
    <t>가게명(고요한상) · 종목명(안동 리모델링 1호) · 타이틀 "1개 구매주문"</t>
  </si>
  <si>
    <t>- 개당 금액 4,500원
- 주문 수량 1개
- 총 주문금액 4,500원</t>
  </si>
  <si>
    <t>재강조 영역</t>
  </si>
  <si>
    <t>"총 주문 수량 1개" / "총 주문금액 4,500원"(빨강, 큰 글자)로 하단에 한 번 더 강조 표시 — 직접가격 확인 바텀시트에는 없는 AI매칭 전용 구성</t>
  </si>
  <si>
    <t>"총 주문 수량 1개" / "총 주문금액 4,500원"(빨강, 큰 글자)로 하단에 한 번 더 강조 표시 — 직접가격 확인 팝업에는 없는 AI매칭 전용 구성</t>
  </si>
  <si>
    <t>안내 문구</t>
  </si>
  <si>
    <t>- "지금 주문이 몰리고 있어요. 주문하는 순간 다른 분이 주문을 체결할 수도 있어요." — AI매칭 특유의 가격·체결 변동 고지
- "주문 내역 동의 시 아래 [동의 후 구매] 버튼을 눌러주세요."</t>
  </si>
  <si>
    <t>AI매칭 주문은 체결 우선순위에 따라 부분체결되거나 타인이 먼저 체결할 수 있음(제13조)</t>
  </si>
  <si>
    <t>[취소] / [동의 후 구매하기](빨강) — 직접가격 바텀시트의 "구매하기"와 달리 "동의 후" 문구가 버튼명에 명시됨</t>
  </si>
  <si>
    <t>[취소] / [동의 후 구매하기](빨강) — 직접가격 팝업의 "구매하기"와 달리 "동의 후" 문구가 버튼명에 명시됨</t>
  </si>
  <si>
    <t>가게명(고요한상) · 종목명(안동 리모델링 1호) · "구매 주문완료"
- 표시 방식: 전체 페이지(결과 화면) — 기존 팝업에서 변경(R-01, 일반 주문 완료와 동일). 기기 뒤로가기는 주문 폼(입력값 초기화)으로 복귀</t>
  </si>
  <si>
    <t>가게명(고요한상) · 종목명(안동 리모델링 1호) · "구매 주문완료"</t>
  </si>
  <si>
    <t>"총 주문 수량 1개" / "총 구매금액 4,500원"(빨강)로 하단에 재강조</t>
  </si>
  <si>
    <t>[닫기] / [주문내역]</t>
  </si>
  <si>
    <t>구매/판매/대기 세그먼트 — 판매 선택</t>
  </si>
  <si>
    <t>판매가 파랑으로 강조되어 선택됨. 구매 화면과 좌우 배치만 다르고 구조는 동일</t>
  </si>
  <si>
    <t>판매 희망가</t>
  </si>
  <si>
    <t>5,300원, +/- 버튼으로 조정. 진입 시 최신 시세 기준으로 프리셋됨</t>
  </si>
  <si>
    <t>지정가 주문만 가능(제12조)</t>
  </si>
  <si>
    <t>수량 · 판매가능 수량</t>
  </si>
  <si>
    <t>- 수량 1개
- "판매가능 수량 127개" — 구매 화면의 "주문가능 금액"에 대응하는 판매측 한도(보유 수량 기준으로 추정)</t>
  </si>
  <si>
    <t>하단 CTA — 호가 / 판매하기</t>
  </si>
  <si>
    <t>[호가] / [판매하기](파랑). 활성화 시 판매주문 확인 바텀시트으로 진입</t>
  </si>
  <si>
    <t>[호가] / [판매하기](파랑). 활성화 시 판매주문 확인 팝업으로 진입</t>
  </si>
  <si>
    <t>가게명(노을다반) · 종목명(서귀포 리모델링 1호) · 타이틀 "1개 판매주문"</t>
  </si>
  <si>
    <t>주문 내역 · 등락률</t>
  </si>
  <si>
    <t>- 개당 금액 5,300원
- 주문 수량 1개
- 총 주문금액 5,300원, 옆에 등락률 "+8.6%"(빨강)로 기준가 대비 변동폭 표시</t>
  </si>
  <si>
    <t>[취소] / [판매하기](파랑)</t>
  </si>
  <si>
    <t>가게명(노을다반) · 종목명(서귀포 리모델링 1호) · "판매 주문완료"
- 표시 방식: 전체 페이지(결과 화면) — 기존 팝업에서 변경(R-01, 일반 주문 완료와 동일). 기기 뒤로가기는 주문 폼(입력값 초기화)으로 복귀</t>
  </si>
  <si>
    <t>주문 유효기간은 접수일로부터 30일이며, 접수 완료일 뿐 체결 확정은 아님(제13조)</t>
  </si>
  <si>
    <t>가게명(노을다반) · 종목명(서귀포 리모델링 1호) · "판매 주문완료"</t>
  </si>
  <si>
    <t>- 개당 금액 5,700원
- 주문 수량 1개
- 총 판매금액 5,700원</t>
  </si>
  <si>
    <t>판매 희망가 필드 — AI매칭 모드(비활성)</t>
  </si>
  <si>
    <t>placeholder "가장 유리한 가격으로 주문" 표시, 직접 가격 입력 불가(회색 처리)</t>
  </si>
  <si>
    <t>AI매칭은 투자 권유가 아님(제12조)</t>
  </si>
  <si>
    <t>- 수량 입력 필드 아래에 '예상 체결 내역' 영역을 입력 전부터 고정 높이로 상시 노출한다(기존: 수량 입력 후 우측에 '예상 체결 내역' 링크가 새로 생겨 레이아웃이 밀리고 '최대' 버튼과 겹치던 문제 해소)
- 수량 미입력: '수량을 입력하면 예상 체결 내역을 보여드려요' 안내(회색)
- 수량 입력 시 실시간(디바운스 300ms) 갱신: 예상 평균 체결가(높은 구매호가 순) · 예상 총 주문금액 · 체결 가능 수량
- 호가 구간별 내역(개당금액/수량/금액)은 영역 안 [자세히] 텍스트 버튼으로 같은 영역에서 펼침·접힘(우측 정렬 링크·chevron 삭제)
- 공통 규칙 R-06</t>
  </si>
  <si>
    <t>우측 드롭다운(∨) — 펼치면 예상 체결 내역 미리보기로 추정</t>
  </si>
  <si>
    <t>수량 · 판매가능 수량 · 비율 단축 버튼</t>
  </si>
  <si>
    <t>- 수량 1개, "판매가능 수량 126개"
- 10%/25%/50%/최대 단축 버튼으로 자동 수량 계산</t>
  </si>
  <si>
    <t>판매하기 버튼</t>
  </si>
  <si>
    <t>- 개당 금액 5,700원
- 주문 수량 1개
- 총 주문금액 5,700원, 등락률 "+16.8%"(빨강)</t>
  </si>
  <si>
    <t>"총 주문 수량 1개" / "총 주문금액 5,700원"(빨강, 큰 글자)로 재강조</t>
  </si>
  <si>
    <t>- "지금 주문이 몰리고 있어요. 주문하는 순간 다른 분이 주문을 체결할 수도 있어요."
- "주문 내역 동의 시 아래 [동의 후 판매] 버튼을 눌러주세요."</t>
  </si>
  <si>
    <t>AI매칭 주문은 체결 우선순위·부분체결 대상이며 투자 권유가 아님(제12조·제13조)</t>
  </si>
  <si>
    <t>[취소] / [동의 후 판매하기](파랑)</t>
  </si>
  <si>
    <t>헤더 — 종목 요약</t>
  </si>
  <si>
    <t>현재가 5,700원 · 등락률 +14.0%(빨강, 상승)로 축소 요약 표시</t>
  </si>
  <si>
    <t>구매/판매/대기 세그먼트 — 대기 선택</t>
  </si>
  <si>
    <t>대기(남색)가 선택된 상태 — 미체결 주문 목록 화면</t>
  </si>
  <si>
    <t>목록 헤더</t>
  </si>
  <si>
    <t>"대기상태 4건" 건수 표시 + 우측 새로고침 아이콘(수동 갱신). 미체결 목록 자체도 화면을 열어둔 동안 자동 갱신됨</t>
  </si>
  <si>
    <t>목록 행 — 날짜 · 가격 · 수량 · 방향</t>
  </si>
  <si>
    <t>- 각 행: 접수일 · 개당 가격 · 잔량 기준 수량 표기 — 미체결은 '미체결 N개', 부분체결은 '체결 N개 · 미체결 M개'(R-05, 주문 내역·내 주문 탭과 동일 카드 컴포넌트)
- 방향은 구매=빨강, 판매=파랑 텍스트로 구분
- 최신 접수 건이 위쪽, 과거 건이 아래쪽 순으로 정렬
- 행 본문 탭 → 주문 상세 시트(S152)</t>
  </si>
  <si>
    <t>미체결 주문은 접수일로부터 30일간 유효함(제13조)</t>
  </si>
  <si>
    <t>대기 목록 카드 표기 통일(R-05)</t>
  </si>
  <si>
    <t>- 각 행: 접수일(26.09.10 / 26.09.08) · 개당 가격 · 수량, 구매는 빨강 텍스트로 방향 구분(예: "1개 구매"), 판매는 기본색
- 최신 접수 건이 위쪽(26.09.10), 과거 건이 아래쪽(26.09.08) 순으로 정렬</t>
  </si>
  <si>
    <t>수정 · 취소 아이콘</t>
  </si>
  <si>
    <t>각 행 우측의 연필(수정) / X(취소) 아이콘 — 연필은 정정 화면으로, X는 즉시 취소로 연결되는 것으로 추정</t>
  </si>
  <si>
    <t>주문 취소는 거래 가능 시간과 무관하게 항상 가능함(거래시간 규정)</t>
  </si>
  <si>
    <t>구매/판매/대기 세그먼트 — 원 주문 방향 고정</t>
  </si>
  <si>
    <t>대기 목록에서 연필(수정) 아이콘을 눌러 진입한 화면. 원 주문의 방향(이 경우 구매)이 그대로 선택되어 표시됨</t>
  </si>
  <si>
    <t>구매 희망가 — 기존 값 채움</t>
  </si>
  <si>
    <t>기존 주문 값(4,900원)이 그대로 채워진 상태로 진입, +/- 버튼으로 재조정 가능</t>
  </si>
  <si>
    <t>수량 — 기존 값 채움</t>
  </si>
  <si>
    <t>기존 주문 수량(1개)이 채워짐, 주문가능 59,976,096원 · 최대 12,227개 기준으로 재입력 가능</t>
  </si>
  <si>
    <t>하단 CTA — 호가 / 수정하기</t>
  </si>
  <si>
    <t>[호가] / [수정하기](빨강) — 이 화면은 가격·수량 정정만 담당하며, 주문 취소는 대기 목록의 X 아이콘에서 별도로 처리</t>
  </si>
  <si>
    <t>정정 주문도 신규 주문과 동일하게 거래시간 게이트가 적용되며, 취소만 시간 제약 없이 가능함(거래시간 규정)</t>
  </si>
  <si>
    <t>상단 종목 정보 + 탭 바</t>
  </si>
  <si>
    <t>- 종목명·현재가·등락률이 표시되며 5초 주기로 자동 갱신된다
- [정보/주문/호가/차트/내주문/커뮤니티] 탭 중 '주문' 탭이 선택된 상태
- 우측 아이콘: 화면 캡처/공유, 관심종목(♡) 등록</t>
  </si>
  <si>
    <t>구매/판매/대기 3단 토글</t>
  </si>
  <si>
    <t>- 기본 진입 시 '구매'가 선택된 빨강 상태
- '판매'를 누르면 폼 전체가 파랑 톤(판매 희망가/판매하기)으로 전환된다
- '대기'를 누르면 본인의 미체결 주문 목록 화면으로 이동한다</t>
  </si>
  <si>
    <t>구매 희망가 | AI매칭 전환 라벨</t>
  </si>
  <si>
    <t>- '구매 희망가' 옆 'AI매칭' 텍스트를 눌러 지정가 직접입력 모드 ↔ AI매칭 모드를 전환한다(이 화면은 직접가격 모드)
- 진입 시 값은 최신 시세로 자동 채워지고 -/+ 버튼으로 호가 단위만큼 증감된다
- 값 입력 중에는 시세가 갱신돼도 값이 바뀌지 않는다(입력 보호)</t>
  </si>
  <si>
    <t>제12조(호가 단위) — 입력한 가격이 호가 단위에 맞지 않으면 자동으로 하위 호가로 보정된다</t>
  </si>
  <si>
    <t>수량 입력 영역</t>
  </si>
  <si>
    <t>- '몇개를 구매할까요?' placeholder를 탭하면 하단 숫자 키패드가 열린다
- 주문가능금액과 그 금액으로 살 수 있는 최대 수량이 함께 안내된다</t>
  </si>
  <si>
    <t>제15조 — 주문가능금액은 미체결 주문의 잠금(Lock) 금액을 제외한 잔여 금액 기준</t>
  </si>
  <si>
    <t>하단 숫자 키패드 · 호가/구매하기 버튼</t>
  </si>
  <si>
    <t>- 화면 진입 직후 기본으로 펼쳐진 숫자 키패드(가격 입력용)
- 좌측 [호가] 버튼을 누르면 호가창 화면으로 이동
- 우측 [구매하기]는 가격·수량이 모두 입력되기 전까지 연한 색의 비활성 상태</t>
  </si>
  <si>
    <t>좌측 미니 호가 보드</t>
  </si>
  <si>
    <t>- 우측 입력 폼과 함께 보이는 축약 호가 목록 — 매수(파랑)/매도(빨강) 가격별 잔량
- 판매대기 3건·구매대기 44건처럼 전체 미체결 건수도 함께 표시</t>
  </si>
  <si>
    <t>구매 희망가 (진입 시 현재가로 자동 채움)</t>
  </si>
  <si>
    <t>- 최신 시세(5,700원)로 자동 채워진 값 — 아직 편집 전이므로 이후 시세가 바뀌면 값도 함께 갱신된다
- -/+ 버튼으로 호가 단위만큼 증감 가능</t>
  </si>
  <si>
    <t>제12조 — 호가 단위에 맞지 않는 값은 하위 호가로 자동 보정된다</t>
  </si>
  <si>
    <t>수량 입력 (미입력 상태)</t>
  </si>
  <si>
    <t>- '몇개를 구매할까요?' placeholder를 탭하면 가격→수량 순으로 3단계(1/3~3/3) 입력이 시작된다
- 주문가능금액·최대 수량이 안내된다</t>
  </si>
  <si>
    <t>구매 희망가 입력 필드 (편집 중)</t>
  </si>
  <si>
    <t>- 하단 키패드로 가격을 직접 입력하는 단계
- 배경(호가·폼)이 흐려져(딤 처리) 입력 시트가 떠 있음을 표시</t>
  </si>
  <si>
    <t>퀵 프리셋 + 숫자 키패드</t>
  </si>
  <si>
    <t>- 10%/25%/50%/최대 버튼으로 값을 빠르게 채울 수 있다
- 초기화로 입력값을 지우고, [입력완료]를 눌러 다음(수량) 단계로 진행</t>
  </si>
  <si>
    <t>제12조 — 입력한 가격은 호가 단위에 맞지 않으면 자동으로 하위 호가로 보정된다</t>
  </si>
  <si>
    <t>입력완료 버튼</t>
  </si>
  <si>
    <t>- 진한 남색, 항상 활성 상태
- 누르면 입력한 가격이 반영되고 이어서 수량 입력(2/3) 단계로 진행</t>
  </si>
  <si>
    <t>수량 입력 필드 (값 채워짐)</t>
  </si>
  <si>
    <t>- 가격 입력을 마친 뒤 이어지는 수량 입력 단계 — '1|개'처럼 커서가 표시된다
- 주문가능금액·최대 수량 안내는 그대로 유지</t>
  </si>
  <si>
    <t>퀵 프리셋 + 숫자 키패드 (수량 기준)</t>
  </si>
  <si>
    <t>- 10%/25%/50%/최대는 주문가능금액 기준 최대 수량 대비 비율로 값을 채운다
- 완료 후 [입력완료]를 누르면 3/3(최종 확인) 단계로 진행</t>
  </si>
  <si>
    <t>- 값 입력을 마치고 다음 단계로 넘어가는 버튼</t>
  </si>
  <si>
    <t>입력 완료된 가격·수량 요약</t>
  </si>
  <si>
    <t>- 키패드가 닫히고 구매 희망가·수량이 최종값으로 표시된 상태
- 값을 다시 고치려면 각 입력란을 다시 탭하면 된다</t>
  </si>
  <si>
    <t>구매하기 버튼 (활성화)</t>
  </si>
  <si>
    <t>- 가격·수량이 모두 입력되면 연한 색에서 진한 빨강으로 바뀌어 다음 단계(주문 확인 바텀시트)로 진행할 수 있다</t>
  </si>
  <si>
    <t>제11조 — 거래 가능 시간 외에는 버튼을 눌러도 시간 안내 바텀시트으로 차단된다</t>
  </si>
  <si>
    <t>- 가격·수량이 모두 입력되면 연한 색에서 진한 빨강으로 바뀌어 다음 단계(주문 확인 팝업)로 진행할 수 있다</t>
  </si>
  <si>
    <t>바텀시트 헤더 — 가게명/종목명/주문 요약 타이틀</t>
  </si>
  <si>
    <t>- 상위 사업체(가게)명과 종목명, 'N개 구매주문' 형태의 타이틀
- 바텀시트이 떠 있는 동안에는 뒤로가기·탭 이동이 막힌다</t>
  </si>
  <si>
    <t>- 상위 사업체(가게)명과 종목명, 'N개 구매주문' 형태의 타이틀
- 팝업이 떠 있는 동안에는 뒤로가기·탭 이동이 막힌다</t>
  </si>
  <si>
    <t>주문 상세 내역</t>
  </si>
  <si>
    <t>- 개당 금액 · 주문 수량 · 총 주문금액을 표로 확인
- 직접가격(지정가) 주문이므로 단일 가격 한 줄로만 표시된다</t>
  </si>
  <si>
    <t>취소 / 구매하기 버튼</t>
  </si>
  <si>
    <t>- [취소]는 바텀시트만 닫고 입력값은 유지
- [구매하기]를 누르면 실제 주문이 접수되고 계좌 잔액이 주문금액+수수료만큼 잠금(Lock) 처리된다</t>
  </si>
  <si>
    <t>제15조(잔액 잠금) — 구매 주문 시 주문금액+수수료 합계가 잠금 처리되며, 취소 시 즉시 해제된다</t>
  </si>
  <si>
    <t>- [취소]는 팝업만 닫고 입력값은 유지
- [구매하기]를 누르면 실제 주문이 접수되고 계좌 잔액이 주문금액+수수료만큼 잠금(Lock) 처리된다</t>
  </si>
  <si>
    <t>주문완료 헤더</t>
  </si>
  <si>
    <t>- '구매 주문완료' 타이틀로 접수가 정상 처리됐음을 안내</t>
  </si>
  <si>
    <t>체결 대기 안내</t>
  </si>
  <si>
    <t>- 개당 금액 · 주문 수량 · 총 구매금액 표시
- 지정가 주문은 상대 호가가 일치할 때까지 '미체결' 상태로 대기하며, 30일 내 미체결 시 자동 취소된다</t>
  </si>
  <si>
    <t>제11조④·제13조④ — 주문 유효기간 30일, 만료 시 자동 취소</t>
  </si>
  <si>
    <t>닫기 / 주문내역 버튼</t>
  </si>
  <si>
    <t>- [닫기]는 종목상세 주문 탭으로 복귀(입력값 초기화)
- [주문내역]을 누르면 '내주문' 탭으로 이동해 방금 접수한 미체결 주문을 확인할 수 있다</t>
  </si>
  <si>
    <t>구매 희망가 영역 — 입력 불가로 대체</t>
  </si>
  <si>
    <t>- AI매칭 모드에서는 가격을 직접 정하지 않으므로 '가장 유리한 가격으로 주문' 안내문구로 고정 표시된다
- 낮은 판매호가 순으로 자동 연결되는 방식</t>
  </si>
  <si>
    <t>제2조(AI 매칭) — 구매 AI매칭은 낮은 판매호가 순으로 입력 수량만큼 자동 연결. 투자 권유가 아니며 최종 결정은 회원 책임</t>
  </si>
  <si>
    <t>수량 입력 키패드</t>
  </si>
  <si>
    <t>- AI매칭에서 사용자가 직접 정하는 값은 '수량'뿐이며, 키패드와 10%/25%/50%/최대 프리셋으로 입력한다</t>
  </si>
  <si>
    <t>- 수량 입력을 마치면 다음 단계(2/3)로 진행</t>
  </si>
  <si>
    <t>예상 체결 내역 영역 (입력 전)</t>
  </si>
  <si>
    <t>- 수량 입력 필드 아래에 예상 체결 내역 영역을 처음부터 고정 노출한다: '수량을 입력하면 예상 체결 내역을 보여드려요'
- 키패드가 열려 있어도 가려지지 않도록 키패드 위 폼 스크롤 영역에 포함한다(R-06)</t>
  </si>
  <si>
    <t>예상 체결 내역 영역 상시 노출(R-06)</t>
  </si>
  <si>
    <t>수량 입력값 (커서 표시)</t>
  </si>
  <si>
    <t>- 입력 중인 수량이 '1|개'처럼 커서와 함께 표시된다</t>
  </si>
  <si>
    <t>예상 체결 내역 (입력값 반영)</t>
  </si>
  <si>
    <t>- 수량이 입력되면 상시 노출 중인 영역이 실시간으로 갱신된다(새 링크·버튼이 생기며 레이아웃이 밀리지 않음)
- 표시: 예상 평균 체결가 · 예상 총 주문금액 · 체결 가능 수량, [자세히]로 호가 구간별 내역(개당금액/수량/총액) 펼침
- 기존 우측 정렬 '예상 체결 내역' 링크·chevron 삭제(R-06)</t>
  </si>
  <si>
    <t>링크 노출 방식 제거, 영역 상시 노출(R-06) / 명칭 통일: '주문예정내역' → '예상 체결 내역'(R-06)</t>
  </si>
  <si>
    <t>- 수량이 입력되면 나타나는 링크 — 펼치면 AI매칭이 예상하는 체결 내역(개당금액/수량/총액) 미리보기를 볼 수 있다</t>
  </si>
  <si>
    <t>키패드 + 입력완료</t>
  </si>
  <si>
    <t>- 계속 수량을 조정할 수 있으며 [입력완료]로 3/3 단계로 진행</t>
  </si>
  <si>
    <t>수량 확정 · 예상 체결 내역</t>
  </si>
  <si>
    <t>- 키패드가 닫히고 입력한 수량이 최종값으로 고정된다
- 예상 체결 내역 영역은 접힘/펼침 없이 요약 상태로 유지되며 [자세히]로 호가 구간별 내역을 확인할 수 있다</t>
  </si>
  <si>
    <t>접힘/펼침 링크 제거, 영역 유지(R-06)</t>
  </si>
  <si>
    <t>- 키패드가 닫히고 입력한 수량이 최종값으로 고정된 상태
- 주문예정내역을 펼치면 실제 체결 예상 내역을 다시 확인할 수 있다</t>
  </si>
  <si>
    <t>- 수량 입력이 끝나면 진한 빨강으로 활성화되어 다음 단계(매칭 결과 확인)로 진행</t>
  </si>
  <si>
    <t>매칭 가능 호가 없음 — 영역 내 인라인 안내</t>
  </si>
  <si>
    <t>- 입력 수량만큼 바로 살 수 있는 매도 호가가 없으면 예상 체결 내역 영역 안에 '지금 바로 체결할 수 있는 호가가 없어요'를 인라인으로 표시한다(별도 빈 화면·링크 없음)
- 영역 내 [구매 희망가로 주문하기] 텍스트 버튼 → 직접가격 모드로 전환(수량 유지)
- 일부 수량만 체결 가능하면 '요청 N개 중 M개 체결 가능' 표시 + [M개로 조정] 버튼(제안 — 확인 필요)</t>
  </si>
  <si>
    <t>제2조(AI 매칭) — AI매칭은 그 순간의 호가 상황에 따라 체결 가능 수량이 없을 수 있는 보조 도구</t>
  </si>
  <si>
    <t>별도 빈 상태 → 영역 내 인라인 안내(R-06)</t>
  </si>
  <si>
    <t>- 입력한 수량만큼 지금 바로 살 수 있는 매도 호가가 없을 때 표시
- '원하는 가격으로 주문을 걸어두는 구매 희망가 방식으로 구매할까요?' 안내로 직접가격 모드 전환을 유도</t>
  </si>
  <si>
    <t>구매하기 버튼 (비활성 유지)</t>
  </si>
  <si>
    <t>- 매칭 가능한 수량이 없으므로 버튼을 눌러도 주문이 진행되지 않는 상태로 보인다</t>
  </si>
  <si>
    <t>예상 체결 내역 — 체결 가능</t>
  </si>
  <si>
    <t>- 매칭 가능한 매도 호가가 있으면 영역에 예상 평균 체결가·총 주문금액·체결 가능 수량이 표시된다(자동 펼침 동작 삭제 — 항상 노출)
- 실제 체결가는 주문 접수 시점의 호가 상황에 따라 달라질 수 있다</t>
  </si>
  <si>
    <t>제12조③ — AI매칭은 보조 도구이며 최종 실행 여부는 회원이 직접 확인 후 결정</t>
  </si>
  <si>
    <t>자동 펼침 동작 삭제, 상시 노출(R-06)</t>
  </si>
  <si>
    <t>- 매칭 가능한 매도 호가가 있으면 주문예정내역이 자동으로 펼쳐지고 개당 금액·주문 수량·총 주문금액 미리보기가 표시된다
- 실제 체결가는 주문 접수 시점의 호가 상황에 따라 달라질 수 있다</t>
  </si>
  <si>
    <t>- 매칭 미리보기 확인 후 눌러 구매주문 확인 바텀시트으로 진행</t>
  </si>
  <si>
    <t>- 매칭 미리보기 확인 후 눌러 구매주문 확인 팝업으로 진행</t>
  </si>
  <si>
    <t>매칭 상세 내역</t>
  </si>
  <si>
    <t>- 개당 금액 · 주문 수량 · 총 주문금액 표시(직접가격 바텀시트과 동일 레이아웃)</t>
  </si>
  <si>
    <t>- 개당 금액 · 주문 수량 · 총 주문금액 표시(직접가격 팝업과 동일 레이아웃)</t>
  </si>
  <si>
    <t>총 주문 수량/총 주문금액 합계 구간</t>
  </si>
  <si>
    <t>- 여러 매도 호가에 걸쳐 매칭될 수 있는 AI매칭 특성상, 개별 내역과 별도로 총 수량·총 금액 합계를 한 번 더 보여준다</t>
  </si>
  <si>
    <t>제2조 — AI 매칭은 낮은 판매호가 순으로 입력 수량만큼 자동 연결되므로 여러 건으로 나뉘어 체결될 수 있다</t>
  </si>
  <si>
    <t>경쟁 체결 위험 경고 문구</t>
  </si>
  <si>
    <t>- '지금 주문이 몰리고 있어요! 주문하는 순간 다른 분이 주문을 체결할 수도 있어요.' — 다자간상대매매 특성상 확인 후에도 다른 주문이 먼저 체결될 수 있음을 고지</t>
  </si>
  <si>
    <t>제12조①(다자간상대매매) · 제13조①(체결 우선순위: 유리한 가격 우선, 동가는 선입력 우선)</t>
  </si>
  <si>
    <t>취소 / 동의 후 구매하기 버튼</t>
  </si>
  <si>
    <t>- 직접가격 바텀시트과 달리 버튼 문구가 '동의 후 구매하기'로, 위 경고 문구에 동의해야 주문이 접수됨을 강조</t>
  </si>
  <si>
    <t>- 직접가격 팝업과 달리 버튼 문구가 '동의 후 구매하기'로, 위 경고 문구에 동의해야 주문이 접수됨을 강조</t>
  </si>
  <si>
    <t>구매 주문완료 헤더 + 매칭 내역</t>
  </si>
  <si>
    <t>- 실제로 매칭된 개당 금액·수량·총 구매금액이 표시된다(요청 시점과 체결가가 다를 수 있음)</t>
  </si>
  <si>
    <t>총 주문 수량/총 구매금액 합계</t>
  </si>
  <si>
    <t>- 확인 바텀시트과 동일하게 합계 구간이 한 번 더 표시되어 최종 접수된 총량을 확인시켜준다</t>
  </si>
  <si>
    <t>- 확인 팝업과 동일하게 합계 구간이 한 번 더 표시되어 최종 접수된 총량을 확인시켜준다</t>
  </si>
  <si>
    <t>- [주문내역]으로 이동하면 '내주문' 탭에서 실제 체결/미체결 상태를 확인할 수 있다</t>
  </si>
  <si>
    <t>판매 토글 선택 상태</t>
  </si>
  <si>
    <t>- 구매/판매/대기 중 '판매'가 선택되어 폼 전체가 파랑 톤으로 바뀐다</t>
  </si>
  <si>
    <t>판매 희망가 (진입 시 현재가로 자동 채움)</t>
  </si>
  <si>
    <t>- 최신 시세로 채워진 판매 희망가(5,900원) — -/+ 버튼으로 호가 단위만큼 증감</t>
  </si>
  <si>
    <t>제12조② — 호가 단위에 맞지 않는 값은 자동 보정된다</t>
  </si>
  <si>
    <t>수량 입력 (판매가능 수량 기준)</t>
  </si>
  <si>
    <t>- '판매가능 수량 122개'처럼 보유 수량 한도가 안내된다 — 구매 화면의 주문가능금액과 달리 보유 수량이 기준</t>
  </si>
  <si>
    <t>판매하기 버튼 (입력 전 비활성)</t>
  </si>
  <si>
    <t>- 하늘색(비활성) — 가격·수량이 모두 입력돼야 진한 파랑으로 활성화된다</t>
  </si>
  <si>
    <t>판매 희망가 영역 — 입력 불가로 대체</t>
  </si>
  <si>
    <t>- '가장 유리한 가격으로 주문' 문구로 고정 — 높은 구매호가 순으로 자동 연결되는 판매 AI매칭 방식</t>
  </si>
  <si>
    <t>제2조(AI 매칭) — 판매 AI매칭은 높은 구매호가 순으로 입력 수량만큼 자동 연결</t>
  </si>
  <si>
    <t>수량 입력 영역 (미입력 상태)</t>
  </si>
  <si>
    <t>- '몇개를 판매할까요?' placeholder — 판매가능 수량 한도 안내</t>
  </si>
  <si>
    <t>- 수량이 입력되기 전까지 하늘색 비활성 상태</t>
  </si>
  <si>
    <t>판매 희망가 입력 필드 (편집 중)</t>
  </si>
  <si>
    <t>- 키패드로 판매 희망가를 직접 입력하는 단계</t>
  </si>
  <si>
    <t>- 10%/25%/50%/최대로 값을 빠르게 채울 수 있다</t>
  </si>
  <si>
    <t>제12조② — 입력값은 호가 단위에 맞게 자동 보정된다</t>
  </si>
  <si>
    <t>- 가격 입력을 마치면 수량 입력(2/3) 단계로 이동</t>
  </si>
  <si>
    <t>- '1|개'처럼 커서와 함께 입력 중인 수량이 표시된다
- 판매가능 수량 한도 내에서만 입력 가능</t>
  </si>
  <si>
    <t>- 10%/25%/50%/최대는 보유 중인 판매가능 수량 대비 비율로 값을 채운다</t>
  </si>
  <si>
    <t>- 값 입력을 마치고 3/3(최종 확인) 단계로 이동</t>
  </si>
  <si>
    <t>- 키패드가 닫히고 판매 희망가·수량이 최종값으로 확정된 상태</t>
  </si>
  <si>
    <t>판매하기 버튼 (활성화)</t>
  </si>
  <si>
    <t>- 가격·수량이 모두 입력되면 진한 파랑으로 바뀌어 다음 단계(주문 확인 바텀시트)로 진행</t>
  </si>
  <si>
    <t>제11조 — 거래 가능 시간 외에는 버튼을 눌러도 시간 안내 바텀시트으로 차단</t>
  </si>
  <si>
    <t>- 가격·수량이 모두 입력되면 진한 파랑으로 바뀌어 다음 단계(주문 확인 팝업)로 진행</t>
  </si>
  <si>
    <t>바텀시트 헤더 — 'N개 판매주문' 타이틀</t>
  </si>
  <si>
    <t>- 가게명/종목명과 함께 판매 주문 요약 타이틀 표시</t>
  </si>
  <si>
    <t>주문 상세 내역 + 수익률(참고용) 표시</t>
  </si>
  <si>
    <t>- 개당 금액 · 주문 수량 · 총 주문금액 옆에 이동평균법 기준 수익률(+20.6%)이 함께 표시된다
- 실제 정산 수익과 차이가 발생할 수 있는 참고 수치</t>
  </si>
  <si>
    <t>제14조(수익률 산정) — 이동평균법 기준 플랫폼 자체 계산 참고 수치이며 실제 손익과 다를 수 있음</t>
  </si>
  <si>
    <t>취소 / 판매하기 버튼</t>
  </si>
  <si>
    <t>- [판매하기]를 누르면 매도 수량만큼 이동 제한(Lock)이 설정되고 주문이 접수된다</t>
  </si>
  <si>
    <t>제15조① — 판매 주문 시 해당 수량에 대해 이동 제한(Lock) 설정</t>
  </si>
  <si>
    <t>판매 주문완료 헤더</t>
  </si>
  <si>
    <t>- '판매 주문완료' 타이틀로 접수 완료를 안내</t>
  </si>
  <si>
    <t>- 개당 금액 · 주문 수량 · 총 판매금액 표시
- 체결 전까지 '미체결' 상태로 대기하며, 30일 내 미체결 시 자동 취소된다</t>
  </si>
  <si>
    <t>제11조④ — 주문 유효기간 30일, 만료 시 자동 취소</t>
  </si>
  <si>
    <t>- [주문내역]을 누르면 '내주문' 탭에서 방금 접수한 미체결 주문을 확인할 수 있다</t>
  </si>
  <si>
    <t>판매 희망가 영역 (계속 고정 표시)</t>
  </si>
  <si>
    <t>- 입력 시트가 떠 있는 동안에도 '가장 유리한 가격으로 주문' 안내는 그대로 유지된다</t>
  </si>
  <si>
    <t>- AI매칭 판매에서 사용자가 직접 정하는 값은 수량뿐이며, 키패드와 퀵 프리셋으로 입력한다</t>
  </si>
  <si>
    <t>- 수량 입력 후 다음 단계(2/3)로 이동</t>
  </si>
  <si>
    <t>수량 입력값 (채워짐, 1개)</t>
  </si>
  <si>
    <t>- 입력된 수량이 반영되고 상시 노출 중인 예상 체결 내역 영역이 갱신된다(새 링크가 나타나지 않음)</t>
  </si>
  <si>
    <t>링크 노출 방식 제거(R-06)</t>
  </si>
  <si>
    <t>- 입력된 수량이 반영되고 '주문예정내역' 링크가 새로 나타난다</t>
  </si>
  <si>
    <t>- 수량이 입력되면 상시 노출 중인 영역이 실시간으로 갱신된다(레이아웃 이동 없음)
- 표시: 예상 평균 체결가(높은 구매호가 순) · 예상 총 주문금액 · 체결 가능 수량, [자세히]로 호가 구간별 내역 펼침
- 기존 우측 정렬 '예상 체결 내역' 링크·chevron 삭제(R-06)</t>
  </si>
  <si>
    <t>- 펼치면 AI매칭이 예상하는 체결 내역(개당금액/수량/총액) 미리보기를 확인할 수 있다</t>
  </si>
  <si>
    <t>- 계속 수량을 조정하거나 [입력완료]로 3/3 단계로 진행</t>
  </si>
  <si>
    <t>- 키패드가 닫히고 입력한 수량이 최종값으로 고정</t>
  </si>
  <si>
    <t>- 수량 입력이 끝나면 진한 파랑으로 활성화되어 매칭 결과 확인 단계로 진행</t>
  </si>
  <si>
    <t>매칭 상세 내역 + 수익률(참고용) 표시</t>
  </si>
  <si>
    <t>- 개당 금액·주문 수량·총 주문금액과 함께 수익률(+12.5%)이 표시된다</t>
  </si>
  <si>
    <t>제14조 — 이동평균법 기준 참고 수치, 실제 정산과 차이 발생 가능</t>
  </si>
  <si>
    <t>- 여러 구매호가에 걸쳐 매칭될 수 있는 판매 AI매칭 특성상 합계를 한 번 더 보여준다</t>
  </si>
  <si>
    <t>제2조 — 판매 AI매칭은 높은 구매호가 순으로 자동 연결</t>
  </si>
  <si>
    <t>- '지금 주문이 몰리고 있어요! 주문하는 순간 다른 분이 주문을 체결할 수도 있어요.' 안내</t>
  </si>
  <si>
    <t>제13조① — 체결은 유리한 가격 우선, 동가는 먼저 넣은 주문 순서로 처리</t>
  </si>
  <si>
    <t>취소 / 동의 후 판매하기 버튼</t>
  </si>
  <si>
    <t>- '동의 후 판매하기'를 눌러야 실제 매도 주문이 접수되고 해당 수량에 이동 제한(Lock)이 설정된다</t>
  </si>
  <si>
    <t>제15조① — 판매 주문 시 수량에 대한 이동 제한 설정</t>
  </si>
  <si>
    <t>판매 주문완료 헤더 + 매칭 내역</t>
  </si>
  <si>
    <t>- 실제 매칭된 개당 금액·수량·총 판매금액 표시</t>
  </si>
  <si>
    <t>총 주문 수량/총 판매금액 합계</t>
  </si>
  <si>
    <t>- 확인 바텀시트과 동일하게 합계 구간이 한 번 더 표시된다</t>
  </si>
  <si>
    <t>- 확인 팝업과 동일하게 합계 구간이 한 번 더 표시된다</t>
  </si>
  <si>
    <t>- [주문내역]으로 이동해 '내주문' 탭에서 체결/미체결 상태를 확인할 수 있다</t>
  </si>
  <si>
    <t>- 뒤로가기 / 종목명('서귀포 리모델링 1호') / 현재가(5,000원)+등락률(0.0%) / 찜
- 하단 탭바에서 '호가' 탭 활성
- 다른 탭과 달리 호가 탭에는 하단 CTA(판매하기/구매하기)가 없다 — 주문 진입은 호가 가격을 직접 눌러서 이루어진다</t>
  </si>
  <si>
    <t>우측 통계 패널</t>
  </si>
  <si>
    <t>- 마지막 체결가(ⓘ 툴팁, 누르면 뜨고 3초 후 자동으로 닫힘)
- 시작(당일 시가) / 고가(빨강) / 저가(파랑) / 거래량 / 거래액
- 매도 호가 칼럼 옆에 고정되어 항상 노출</t>
  </si>
  <si>
    <t>매도 호가 목록 (파랑, 상단)</t>
  </si>
  <si>
    <t>- 수량바(그쪽 최대 수량 대비 비율로 막대 길이 결정) + 매도가(파랑)/등락률
- 가격을 탭하면 하단에 플로팅 pill이 뜨고 [구매] 쪽이 강조(그 가격에 살 수 있으므로)된다
- 값이 바뀐 행은 잠깐 반짝이는 플래시 효과
- 매도 호가가 없으면 '지금 판매중인 호가가 없어요.' 안내</t>
  </si>
  <si>
    <t>중앙 헤더 (판매대기 / 금액 / 구매대기)</t>
  </si>
  <si>
    <t>- 판매대기(파랑, 매도 호가 총 수량) / 구매대기(빨강, 매수 호가 총 수량)
- 화면 진입 시 이 헤더가 세로 중앙에 오도록 자동 스크롤되며, 호가 수가 적어도 중앙 위치가 유지된다</t>
  </si>
  <si>
    <t>매수 호가 목록 (빨강, 하단)</t>
  </si>
  <si>
    <t>- 매수가(빨강)/등락률 + 수량바(매도측과 좌우 반전 배치)
- 가격을 탭하면 플로팅 pill에서 [판매] 쪽이 강조된다
- 강조되지 않은 반대쪽 버튼도 눌러 반대 방향 주문이 가능(양방향)
- 매수 호가가 없으면 '지금 구매중인 호가가 없어요.' 안내
- 호가·수량·통계 전체가 5초마다 자동 갱신된다</t>
  </si>
  <si>
    <t>이용약관 제12조(호가 단위): 2,000원 미만 10원 ~ 50,000원 이상 1,000원까지 가격 구간별 호가 단위가 있고, 단위에 맞지 않는 입력값은 하위 호가로 자동 보정된다 — 호가 목록의 가격들도 이 단위를 따른다.</t>
  </si>
  <si>
    <t>- 뒤로가기 / 종목명 / 현재가+등락률 / 찜
- 하단 탭바 '차트' 탭 활성</t>
  </si>
  <si>
    <t>TradingView 차트 영역</t>
  </si>
  <si>
    <t>- 우상단 [확대/축소]·[설정(톱니)] 아이콘
- 확대하면 차트가 화면 전체를 채우고 하단 시세 표 2개가 사라진다
- 보이는 구간의 최고가(빨강 ↓)·최저가(파랑 ↑) 위치에 '{가격} ({날짜})' 라벨이 붙고 구간 이동 시 재계산된다
- 캡처에는 '내 종목 평균'(하늘색 점선, 4,888원)과 '구매'/'판매' 표식이 표시되어 있다 — 설정에서 해당 옵션이 켜진 상태
- 로드 실패 시 '차트를 불러올 수 없어요' 문구</t>
  </si>
  <si>
    <t>설정의 '내 종목 평균'·'구매/판매 표시' 체크는 로그인+계좌연결이 필요하며, 미충족 시 체크 시점에 로그인/계좌연결 안내가 뜬다.</t>
  </si>
  <si>
    <t>기간 · 캔들/라인 · 설정저장</t>
  </si>
  <si>
    <t>- 기간 [일]/[주]/[월](기본 '일') / 차트 모양 [캔들]/[라인](기본 '캔들') 즉시 전환
- 설정 바텀시트의 '내 종목 평균'·'구매/판매 표시'·'거래량' 3개 옵션은 [저장하기]를 눌러야 반영
- 이 설정은 이 기기의 브라우저에 저장되어 다른 기기·데이터 삭제 시 기본값(전부 켜짐)으로 복원된다</t>
  </si>
  <si>
    <t>체결시세 표 (5행)</t>
  </si>
  <si>
    <t>- 일시/체결가(원)/등락율/체결량(개)
- 확대 상태가 아닐 때만 노출, 최근 5건
- 자동 갱신 없음(재진입해야 최신값 반영 — 5초 자동갱신되는 상단 현재가와 어긋나 보일 수 있으나 정상)
- [더보기] → 시세 화면(체결시세 탭 선택 상태로 진입)</t>
  </si>
  <si>
    <t>일별시세 표 (5행)</t>
  </si>
  <si>
    <t>- 일시/체결가(원)/등락율/체결량(개)
- 60초 이내 재진입 시 캐시된 값 표시
- [더보기] → 시세 화면(일별시세 탭)
- 시세 전용 화면은 탭바 없이 뒤로가기로만 나갈 수 있고 하단 CTA는 그대로 있으며, 목록은 30건씩 커서 방식으로 누적된다</t>
  </si>
  <si>
    <t>화면 최하단 고정. 누르면 로그인·계좌 연결 확인 후 주문 탭으로 이동.</t>
  </si>
  <si>
    <t>체결시세 — 전용 시세 화면</t>
  </si>
  <si>
    <t>- 탭바·헤더 아이콘이 없는 전용 화면 — 뒤로가기로만 나간다
- 차트 탭 하단 체결시세 표의 [더보기]로 진입하면 '체결시세' 세그먼트가 선택된 상태로 열린다
- 하단에는 [판매하기]/[구매하기] CTA가 그대로 있다</t>
  </si>
  <si>
    <t>체결시세 / 일별시세 세그먼트</t>
  </si>
  <si>
    <t>- 상단 세그먼트로 종류 전환
- 선택 상태가 URL 쿼리(?type=execution|daily)에 남는다
- 세그먼트를 바꾸면 그 종류의 목록을 처음부터 다시 불러온다(누적 초기화)</t>
  </si>
  <si>
    <t>목록 컬럼 (공통 4열)</t>
  </si>
  <si>
    <t>- 일시 / 체결가(원) / 등락율 / 체결량(개)
- 등락률 색: 상승 빨강 · 하락 파랑 · 0%는 회색</t>
  </si>
  <si>
    <t>30건 커서 누적</t>
  </si>
  <si>
    <t>- 목록은 30건씩 커서 방식으로 불러온다
- 하단 [더보기]를 누르면 30건 추가, 마지막까지 불러오면 [더보기]가 사라진다</t>
  </si>
  <si>
    <t>자동 갱신 없음</t>
  </si>
  <si>
    <t>- 체결시세는 조회 시점 값 — 자동 갱신이 없어 재진입해야 최신값이 반영된다
- 상단(탭 바깥) 현재가는 5초 자동 갱신이라 두 값이 어긋나 보일 수 있으나 정상이다</t>
  </si>
  <si>
    <t>하단 CTA</t>
  </si>
  <si>
    <t>- [판매하기]/[구매하기] → 주문 탭으로 이동(로그인·계좌 연결 확인 후 진행)</t>
  </si>
  <si>
    <t>일별시세 세그먼트 (선택 상태)</t>
  </si>
  <si>
    <t>- 세그먼트에서 [일별시세]가 선택된 상태 — URL 쿼리 ?type=daily로 남는다
- 전환 시 목록이 처음부터 다시 그려진다(누적 초기화)</t>
  </si>
  <si>
    <t>일별 컬럼 표시</t>
  </si>
  <si>
    <t>- 체결시세와 동일한 4열(일시/체결가(원)/등락율/체결량(개))이나 값이 하루 단위로 집계된다
- 일시는 날짜만 표시, 체결량은 그날 합계 수량</t>
  </si>
  <si>
    <t>30건 커서 · 데이터 적을 때</t>
  </si>
  <si>
    <t>- 역시 30건씩 커서 방식이나 이 예시는 4건뿐이라 [더보기] 버튼이 보이지 않는다(전량 로드 완료 상태)</t>
  </si>
  <si>
    <t>60초 캐시</t>
  </si>
  <si>
    <t>- 일별시세는 조회 시점 값을 유지 — 60초 안에 재진입하면 이전 저장값이 그대로 보인다</t>
  </si>
  <si>
    <t>- [판매하기]/[구매하기] → 주문 탭 이동(로그인·계좌 연결 확인 후)</t>
  </si>
  <si>
    <t>- 뒤로가기 / 종목명 / 현재가+등락률 / 찜
- 하단 탭바 '내주문' 탭 활성</t>
  </si>
  <si>
    <t>이 종목 요약 카드</t>
  </si>
  <si>
    <t>- 계좌 셀렉터(R-04): '[증권사] 한국ST거래증권 ····1234 ⌄' 단일 컨트롤로 표시, 탭 → 계좌 변경 바텀시트(S089). 기존 뱃지+ⓘ와 [계좌변경 &gt;] 분리 배치 삭제
- 나의 평가금(1,200,000원, 손익 +613,405원(104.5%) 함께 표시) / 계좌잔고(60,063,088원, 펼침 화살표)
- 평균 구매단가·보유수량은 이 종목 내 값 기준이며 미보유 시 '-'
- 이 탭은 로그인+계좌연결 필수 — 비로그인 상태로 탭을 누르면 로그인 안내 토스트만 뜨고 탭이 열리지 않으며, 로그인했지만 미연결 상태로 URL 직접 진입 시 전체화면 안내('투자, 이제 시작만 남았어요.' + [계좌 연결하기])가 뜬다</t>
  </si>
  <si>
    <t>이 요약 수치는 정보 탭과 마찬가지로 이동평균법 기준 참고 수치로, 증권사 실제 정산 금액과 차이가 있을 수 있다(이용약관 제14조).</t>
  </si>
  <si>
    <t>계좌 셀렉터로 통합(R-04)</t>
  </si>
  <si>
    <t>- 계좌관리기관 뱃지('한국ST거래증권' + ⓘ) + [계좌변경 &gt;]
- 나의 평가금(1,200,000원, 손익 +613,405원(104.5%) 함께 표시) / 계좌잔고(60,063,088원, 펼침 화살표)
- 평균 구매단가·보유수량은 이 종목 내 값 기준이며 미보유 시 '-'
- 이 탭은 로그인+계좌연결 필수 — 비로그인 상태로 탭을 누르면 로그인 안내 토스트만 뜨고 탭이 열리지 않으며, 로그인했지만 미연결 상태로 URL 직접 진입 시 전체화면 안내('투자, 이제 시작만 남았어요.' + [계좌 연결하기])가 뜬다</t>
  </si>
  <si>
    <t>필터 버튼</t>
  </si>
  <si>
    <t>- 우상단 [필터] → 필터 바텀시트(S077, R-02). 주문상태(전체/미체결/체결/취소·만료)와 구매·판매(전체/구매/판매) 2개 섹션, 섹션별 1개만 선택(비워두면 '전체')
- '미체결'은 잔량이 있는 모든 주문(부분체결 진행 중 포함), '체결'은 체결 수량이 있는 모든 주문(부분체결 포함)을 조회한다(R-05)
- 적용 시 목록이 처음 20건부터 다시 로드된다([더보기]로 펼친 내용은 접힘)</t>
  </si>
  <si>
    <t>필터 재정의(R-05) 및 바텀시트 통일(R-02)</t>
  </si>
  <si>
    <t>- 우상단 [필터] → 바텀시트 2개 섹션(주문상태: 전체/미체결/부분체결/체결완료/취소, 구매·판매: 전체/구매/판매) 각각 1개만 선택 가능(다중선택 불가, 비워두면 '전체' 처리)
- 적용 시 목록이 처음 20건부터 다시 로드된다([더보기]로 펼친 내용은 접힘)</t>
  </si>
  <si>
    <t>주문 카드 목록</t>
  </si>
  <si>
    <t>- 카드 1건 = 접수일(YY.MM.DD) · 개당 N원 · 방향(구매=빨강/판매=파랑) · 상태 배지 + 수량 표기(R-05)
- 수량 표기: 미체결 '미체결 N개' / 부분체결 '체결 N개 · 미체결 M개' / 체결완료 '체결 N개' / 취소 '취소 N개' / 부분체결 후 취소·만료 '체결 N개 · 취소 M개'
- 수정(연필)·취소(✕) 아이콘은 미체결 잔량이 있는 카드(미체결·부분체결)에만 노출
- 카드 본문 탭 → 주문 상세 시트(S152)
- 1회 20건, [더보기]로 20건씩 추가, 5초마다 자동 갱신(체결 시 수 초 내 상태 반영). 정렬 옵션 없이 서버 순서 그대로</t>
  </si>
  <si>
    <t>취소(✕)는 미체결/부분체결 잔여 수량에서만 가능 — 체결완료 건은 이미 증권 이전이 끝난 상태라 취소 불가(이용약관 제13조⑥).</t>
  </si>
  <si>
    <t>주문 카드 표기 통일(R-05) · 주문 상세 시트 연결</t>
  </si>
  <si>
    <t>- 카드 1건 = 날짜(YY.MM.DD) · 개당 N원 / 총 주문수량 + 구매|판매 / 상태
- 이 수량은 '총 주문수량'이며 미체결 잔량이 아니다(주문 탭 '대기' 목록과는 다른 개념)
- 상태에 따라 우측에 수정(연필)·취소(✕) 아이콘이 붙는다 — 캡처의 '미체결' 카드(5,700원 1개 구매/미체결, 4,900원 1개 구매/미체결)에만 두 아이콘이 있고 '체결완료' 카드에는 없다
- 카드 본문 탭 → 구매정보/판매정보 상세 팝업
- 1회 20건, [더보기]로 20건씩 추가, 5초마다 자동 갱신(체결 시 수 초 내 상태 반영)
- 정렬 옵션 없이 서버 순서 그대로</t>
  </si>
  <si>
    <t>화면 최하단 고정. 누르면 주문 탭으로 이동.</t>
  </si>
  <si>
    <t>내주문 탭 — 기본(접힘) 상태</t>
  </si>
  <si>
    <t>- 계좌 배지·종목별 요약이 접힌 기본 상태 화면(823cde941f12와 동일 화면의 다른 종목/상태 예시)
- 헤더(종목명·현재가·등락률·찜)와 탭바는 공통</t>
  </si>
  <si>
    <t>계좌 셀렉터</t>
  </si>
  <si>
    <t>- '[증권사] 한국ST거래증권 ····1234 ⌄' 단일 컨트롤(R-04). 탭 → 계좌 변경 바텀시트(S089)
- 연동 계좌가 1개면 chevron 없이 표시만 한다</t>
  </si>
  <si>
    <t>- 좌측 '한국ST거래증권' 배지, 우측 [계좌변경 &gt;] → 기본 거래 계좌 설정 화면(da22070ff0ec)</t>
  </si>
  <si>
    <t>나의 평가금 — 미보유 예시</t>
  </si>
  <si>
    <t>- 이 종목을 보유하지 않은 상태의 예시 — '나의 평가금 0원'으로 표시된다</t>
  </si>
  <si>
    <t>계좌잔고 — 접힘(기본) 상태</t>
  </si>
  <si>
    <t>- 아래 화살표(v)로 표시된 접힘 상태 — 계좌잔고 한 줄만 보인다
- 탭하면 개당평균금액·보유수량 등 상세 4행이 펼쳐진다(52b5a64d2129의 펼침 상태 참고)</t>
  </si>
  <si>
    <t>[필터] 버튼</t>
  </si>
  <si>
    <t>- 주문상태·구매/판매 조건의 필터 바텀시트를 연다(aacf47320f91)</t>
  </si>
  <si>
    <t>주문 카드 — 미체결 예시</t>
  </si>
  <si>
    <t>- '26.09.08 개당 5,000원 · 구매 · 미체결 1개' 형태의 카드(R-05)
- 우측에 수정(연필)·취소(×) 아이콘이 미체결 잔량이 있는 카드에 노출된다</t>
  </si>
  <si>
    <t>주문 카드 표기 통일(R-05)</t>
  </si>
  <si>
    <t>- '26.09.08 개당 5,000원 / 1개 구매 / 미체결' 형태의 카드
- 우측에 수정(연필)·취소(×) 아이콘이 함께 노출된다(미체결 건에만 취소 아이콘이 보임)</t>
  </si>
  <si>
    <t>계좌 배지 · [계좌변경 &gt;]</t>
  </si>
  <si>
    <t>- 좌측 배지: 현재 연결된 증권사명(한국ST거래증권)
- 우측 [계좌변경 &gt;]: 기본 거래 계좌 설정 화면(da22070ff0ec)으로 이동</t>
  </si>
  <si>
    <t>S089(계좌 변경 바텀시트)로 통합 — 계좌 셀렉터 1종에서 호출(R-04)</t>
  </si>
  <si>
    <t>나의 평가금</t>
  </si>
  <si>
    <t>- 이 종목에 대한 평가금액과 손익(금액·수익률)을 표시
- 예시: 1,200,000원 / +613,405(104.5%)</t>
  </si>
  <si>
    <t>계좌잔고 — 펼침(요약상세) 상태</t>
  </si>
  <si>
    <t>- 위쪽 화살표(^)를 탭해 펼친 상태로, 개당평균금액·보유수량·주문대기금액·총구매금액 4행이 추가로 보인다
- 다시 탭하면 계좌잔고 한 줄만 남는 접힘 상태로 돌아간다(dea1fc47ecc7의 기본 상태 참고)</t>
  </si>
  <si>
    <t>주문대기금액 ⓘ</t>
  </si>
  <si>
    <t>- 현재 미체결로 걸려 있는 주문 금액 합계로 추정
- ⓘ 아이콘에 설명 툴팁이 붙는다</t>
  </si>
  <si>
    <t>총구매금액</t>
  </si>
  <si>
    <t>- 이 종목에 대해 누적으로 체결된 구매 금액 합계로 추정</t>
  </si>
  <si>
    <t>주문 카드 목록 (필터 이후)</t>
  </si>
  <si>
    <t>- 아래로 날짜·개당가·수량·구매/판매 구분·상태 카드가 이어진다
- 카드 구성 자체의 상세 정의는 내주문 메인 화면(dea1fc47ecc7) 참고</t>
  </si>
  <si>
    <t>필터 바텀시트 진입</t>
  </si>
  <si>
    <t>- 내주문 목록 우상단 [필터]를 탭하면 하단에서 올라오는 바텀시트
- 배경(요약 카드·목록)은 딤 처리되고 조작이 막힌다</t>
  </si>
  <si>
    <t>주문상태 — 단일 선택 (수량 기반)</t>
  </si>
  <si>
    <t>- 전체(기본)·미체결·체결·취소/만료 중 1개만 선택 가능
- 미체결 = 잔량이 있는 모든 주문(부분체결 진행 중 포함), 체결 = 체결 수량이 있는 모든 주문(부분체결 포함), 취소·만료 = 취소 수량이 있는 주문
- 한 주문이 '미체결'과 '체결' 양쪽에 조회될 수 있으며 정상이다 — 카드 표기(체결 N개 · 미체결 M개)로 구분한다
- 각 칩 우측에 건수를 표시한다(예: 미체결 3). 기존 '부분체결' 별도 항목은 삭제</t>
  </si>
  <si>
    <t>주문상태 필터 수량 기반 재정의(R-05)</t>
  </si>
  <si>
    <t>- 전체(기본)·미체결·부분체결·체결완료·취소 중 1개만 선택 가능(다중 선택 불가)
- 스크린샷은 '체결완료'가 선택된 상태</t>
  </si>
  <si>
    <t>구매/판매 — 단일 선택</t>
  </si>
  <si>
    <t>- 전체(기본)·구매·판매 중 1개만 선택 가능
- 스크린샷은 '판매'가 선택된 상태</t>
  </si>
  <si>
    <t>[적용] 버튼</t>
  </si>
  <si>
    <t>- 누르면 두 섹션의 선택값으로 목록을 처음 20건부터 다시 불러온다([더보기]로 펼친 목록은 접힌다)
- 섹션을 비운 채 적용하면 그 섹션은 전체로 처리된다</t>
  </si>
  <si>
    <t>[초기화] 버튼</t>
  </si>
  <si>
    <t>- 선택값을 전체(기본)로 되돌린다(시트는 유지)
- 시트를 닫으려면 X·딤 영역 탭·기기 뒤로가기 — 변경 없이 닫힌다</t>
  </si>
  <si>
    <t>공통 시트 버튼 구성(R-02): [취소] → [초기화]</t>
  </si>
  <si>
    <t>- 선택값을 반영하지 않고 바텀시트를 닫는다</t>
  </si>
  <si>
    <t>커뮤니티 목록 헤더</t>
  </si>
  <si>
    <t>- 상단은 다른 탭과 공통 헤더(뒤로가기·종목명/현재가/등락률·찜)
- 탭바에서 커뮤니티 탭이 활성 상태</t>
  </si>
  <si>
    <t>가디언 배지 · 총 건수 · 정렬 · 필터</t>
  </si>
  <si>
    <t>- 좌측 체크박스: 다중 선택(전체 선택)용으로 추정
- 가디언 배지: 운영자/우수 작성자 등 작성자 자격 표기
- 총 N건: 현재 목록 기준 게시글 수
- 정렬(최신순 기본)과 [필터] 아이콘 — 정렬 트리거(텍스트+▾)를 탭하면 정렬 팝업이 뜬다(R-02). 깔때기 아이콘은 삭제(d7a95c69720b)</t>
  </si>
  <si>
    <t>정렬 드롭다운 → 정렬 팝업 트리거(R-02)</t>
  </si>
  <si>
    <t>- 좌측 체크박스: 다중 선택(전체 선택)용으로 추정
- 가디언 배지: 운영자/우수 작성자 등 작성자 자격 표기
- 총 N건: 현재 목록 기준 게시글 수
- 정렬(최신순 기본)과 [필터] 아이콘 — 필터 아이콘을 탭하면 정렬 옵션 드롭다운이 뜬다(d7a95c69720b)</t>
  </si>
  <si>
    <t>게시글 카드</t>
  </si>
  <si>
    <t>- 작성자 아바타·닉네임·작성일시, 본문(길면 말줄임 + [더보기])
- 우상단 ⋮ 메뉴, 하단에 좋아요·댓글 수
- 카드 탭 → 상세보기(ba5ab5cac37b)</t>
  </si>
  <si>
    <t>[더보기] — 본문 펼치기</t>
  </si>
  <si>
    <t>- 본문이 일정 줄 수를 넘으면 잘리고 [더보기]가 나타난다
- 누르면 카드 내에서 본문 전체가 펼쳐진다(상세보기로 이동하는 것이 아님)</t>
  </si>
  <si>
    <t>좋아요 · 댓글 수</t>
  </si>
  <si>
    <t>- 좋아요(👍)·댓글(💬) 수가 표시된다
- 숫자 열람은 비로그인도 가능하지만 좋아요를 누르려면 로그인이 필요하다</t>
  </si>
  <si>
    <t>커뮤니티 좋아요·신고·글쓰기는 로그인이 필요한 조작이다(로그인 게이트 정책).</t>
  </si>
  <si>
    <t>글쓰기 진입 버튼(FAB)</t>
  </si>
  <si>
    <t>- 우하단 연필 아이콘 → 글쓰기 화면(abf1ae88db04)으로 이동
- 비로그인 상태에서 탭하면 로그인 안내 토스트만 뜨고 화면은 열리지 않는다</t>
  </si>
  <si>
    <t>비로그인 글쓰기 시도 시 로그인 게이트 적용 대상.</t>
  </si>
  <si>
    <t>커뮤니티 목록 (다른 종목 예시)</t>
  </si>
  <si>
    <t>- 8887ae630ed2와 동일한 커뮤니티 목록 화면 구조이며, 종목만 '본점 온라인간편식 신규사업 1호'로 다르다
- 헤더(뒤로가기·종목명/현재가/등락률·찜)와 탭바 구성은 동일</t>
  </si>
  <si>
    <t>- 총 2건으로 게시글이 적은 예시
- 정렬(최신순 기본)과 필터 아이콘 구성은 8887ae630ed2와 동일</t>
  </si>
  <si>
    <t>게시글 카드 (닉네임 특수문자 예시)</t>
  </si>
  <si>
    <t>- 첫 카드 작성자 닉네임이 특수문자(똥 반복) 조합인 예시 — 닉네임 길이 제한 없이 그대로 렌더링됨을 확인 가능
- 본문 말줄임 + [더보기] 구조는 동일</t>
  </si>
  <si>
    <t>- 본문이 길면 잘리고 [더보기]로 카드 내 펼치기가 가능하다</t>
  </si>
  <si>
    <t>두 번째 게시글</t>
  </si>
  <si>
    <t>- 'Test-User(seed)' 작성 — 실사용 후기형 게시글 예시
- 좋아요 0 · 댓글 0 표시</t>
  </si>
  <si>
    <t>- 우하단 연필 아이콘 → 글쓰기 화면으로 이동(비로그인 시 로그인 안내)</t>
  </si>
  <si>
    <t>- 목록 상단 정렬 트리거(정렬명+▾)를 탭하면 트리거 아래에 정렬 팝업이 뜬다(R-02, 단일 선택) — 기존 깔때기(필터) 모양 아이콘이 정렬 드롭다운을 열던 불일치 해소
- 정렬만 있는 목록이므로 바텀시트·필터 아이콘은 쓰지 않는다</t>
  </si>
  <si>
    <t>- 목록 상단의 필터 모양 아이콘을 탭하면 뜨는 드롭다운
- 아이콘은 깔때기(필터) 모양이지만 실제 열리는 내용은 정렬 옵션이다</t>
  </si>
  <si>
    <t>정렬 선택지 · 체크 표시</t>
  </si>
  <si>
    <t>- 최신순(기본) · 좋아요 많은순 · 댓글 많은순
- 현재 적용된 기준에 체크마크가 붙는다(스크린샷은 최신순)</t>
  </si>
  <si>
    <t>옵션 탭 시 동작</t>
  </si>
  <si>
    <t>- 항목을 탭하면 정렬 팝업이 닫히고 그 기준으로 목록이 다시 정렬되어 그려진다</t>
  </si>
  <si>
    <t>드롭다운 → 정렬 팝업 표기</t>
  </si>
  <si>
    <t>- 항목을 탭하면 드롭다운이 닫히고 그 기준으로 목록이 다시 정렬되어 그려진다</t>
  </si>
  <si>
    <t>바깥 탭으로 닫기</t>
  </si>
  <si>
    <t>- 정렬 팝업 바깥 영역을 탭하면 선택 변경 없이 닫힌다</t>
  </si>
  <si>
    <t>- 드롭다운 바깥 영역을 탭하면 선택 변경 없이 닫힌다</t>
  </si>
  <si>
    <t>플로팅 pill — 매수 호가(빨강) 클릭 시 [판매] 강조</t>
  </si>
  <si>
    <t>- 매수 호가(빨강) 행의 가격을 탭하면 화면 중앙에 캡슐형 pill이 뜬다
- 그 가격에 팔 수 있으므로 [판매] 버튼이 진한 색으로 강조되고 [구매]는 옅게 표시된다
- 강조 안 된 [구매]도 눌러 반대 방향 주문으로 진입할 수 있다(양방향)
- 가운데 숫자는 탭한 호가의 가격·등락률(예: 5,100 / 45.71%)</t>
  </si>
  <si>
    <t>판매대기 · 구매대기 합계</t>
  </si>
  <si>
    <t>- pill이 떠 있는 동안에도 중앙 헤더의 판매대기(파랑)·구매대기(빨강) 총 수량은 계속 보인다
- 예시 값: 판매대기 52 / 구매대기 195</t>
  </si>
  <si>
    <t>우측 종목 통계 (배경 유지)</t>
  </si>
  <si>
    <t>- 마지막 체결가·시작·고가·저가·거래량·거래액이 pill 뒤에서도 그대로 노출
- 5초마다 자동 갱신된다</t>
  </si>
  <si>
    <t>호가 리스트 배경</t>
  </si>
  <si>
    <t>- pill 아래로 호가 행(가격·등락률·수량바)이 계속 보인다
- 수량이 바뀌면 해당 행이 잠깐 플래시된다</t>
  </si>
  <si>
    <t>[판매] 탭 시 이동</t>
  </si>
  <si>
    <t>- 강조된 [판매]를 누르면 주문 탭으로 이동하며, 탭한 호가의 가격·수량이 채워진 간편 모드 주문 화면이 열린다
- 로그인·계좌 연결 게이트는 여기서 걸리지 않고 주문 제출 시 확인된다</t>
  </si>
  <si>
    <t>pill 바깥 탭 · 다른 호가 재탭</t>
  </si>
  <si>
    <t>- pill 바깥 영역을 탭하면 팝업이 닫힌다
- 닫힌 상태에서 다른 호가를 바로 탭하면 그 가격 기준으로 pill이 새로 뜬다</t>
  </si>
  <si>
    <t>플로팅 pill — 매도 호가(파랑) 클릭 시 [구매] 강조</t>
  </si>
  <si>
    <t>- 매도 호가(파랑) 행의 가격을 탭하면 화면 중앙에 캡슐형 pill이 뜬다
- 그 가격에 살 수 있으므로 [구매] 버튼이 진한 색(빨강)으로 강조되고 [판매]는 옅게 표시된다
- 강조 안 된 [판매]도 눌러 반대 방향 주문으로 진입할 수 있다
- 가운데 숫자는 탭한 호가의 가격·등락률(예: 10,000 / 100%)</t>
  </si>
  <si>
    <t>판매대기 · 구매대기 — 한쪽 물량이 적은 예시</t>
  </si>
  <si>
    <t>- 이 예시는 판매대기 1 · 구매대기 42로 한쪽 대기 물량이 매우 적은 상태
- 물량이 적은 쪽은 수량바가 짧게(또는 거의 안 보이게) 그려진다</t>
  </si>
  <si>
    <t>- 마지막 체결가·시작·고가·저가·거래량·거래액이 pill 뒤에서도 계속 보이고 5초마다 자동 갱신된다</t>
  </si>
  <si>
    <t>- pill 아래로 호가 행(가격·등락률·수량)이 계속 보인다
- 값이 바뀐 행은 잠깐 플래시된다</t>
  </si>
  <si>
    <t>[구매] 탭 시 이동</t>
  </si>
  <si>
    <t>- 강조된 [구매]를 누르면 주문 탭으로 이동하며, 탭한 호가의 가격·수량이 채워진 간편 모드 주문 화면이 열린다
- 로그인·계좌 게이트는 여기서 걸리지 않고 주문 제출 시 확인된다</t>
  </si>
  <si>
    <t>호가 탭 — 매수 호가 클릭 시 [판매] 강조 pill</t>
  </si>
  <si>
    <t>- 이 화면은 이름상 '판매희망가/주문(일반) 판매' 관련으로 분류돼 있으나, 실제 캡처 내용은 종목상세 '호가' 탭에서 매수 호가(빨강)를 탭했을 때 뜨는 플로팅 pill이다(41c5c0545ab7과 동일 종목·동일 상태)
- [판매]가 진하게 강조되고 [구매]는 옅게 표시된다</t>
  </si>
  <si>
    <t>판매대기 · 구매대기</t>
  </si>
  <si>
    <t>- 중앙 헤더의 판매대기(파랑)·구매대기(빨강) 합계 수량이 pill 아래로 계속 보인다</t>
  </si>
  <si>
    <t>우측 종목 통계</t>
  </si>
  <si>
    <t>- 마지막 체결가·시작·고가·저가·거래량·거래액 — 5초 자동 갱신</t>
  </si>
  <si>
    <t>- pill 아래로 호가 행(가격·등락률·수량)이 이어진다</t>
  </si>
  <si>
    <t>게시글 본문</t>
  </si>
  <si>
    <t>- 작성자 닉네임·작성일시, 본문 전체(목록 카드와 달리 더보기 없이 전문 노출)
- 첨부 이미지가 있으면 본문 아래에 표시된다</t>
  </si>
  <si>
    <t>게시글 ⋮ 메뉴</t>
  </si>
  <si>
    <t>- 우상단 ⋮ 탭 → [신고하기] 메뉴가 뜬다(69977525cd88)</t>
  </si>
  <si>
    <t>- 게시글 하단 좋아요(👍)·댓글(💬) 카운트</t>
  </si>
  <si>
    <t>좋아요는 로그인이 필요한 조작이다(로그인 게이트 정책).</t>
  </si>
  <si>
    <t>댓글 목록</t>
  </si>
  <si>
    <t>- 댓글 작성자·작성일시·본문, 개별 ⋮ 메뉴(신고 등), 좋아요 수 포함</t>
  </si>
  <si>
    <t>댓글 입력창</t>
  </si>
  <si>
    <t>- 하단 고정 입력창 — 텍스트 입력 후 전송(➤) 아이콘으로 등록
- 좌측 아바타는 로그인한 내 계정 아이콘
- 비로그인 상태에서는 로그인 안내가 뜬다</t>
  </si>
  <si>
    <t>댓글 작성은 로그인이 필요한 조작이다(로그인 게이트 정책).</t>
  </si>
  <si>
    <t>⋮ 메뉴 — [신고하기]</t>
  </si>
  <si>
    <t>- 게시글 우상단 ⋮를 탭하면 열리는 액션 바텀시트(R-01), 옵션은 [신고하기] 1개뿐이다</t>
  </si>
  <si>
    <t>신고 기능은 로그인이 필요한 조작이다(로그인 게이트 정책).</t>
  </si>
  <si>
    <t>⋮ 미니 메뉴 → 액션 바텀시트(R-01)</t>
  </si>
  <si>
    <t>- 게시글 우상단 ⋮를 탭하면 뜨는 미니 메뉴, 옵션은 [신고하기] 1개뿐이다</t>
  </si>
  <si>
    <t>[신고하기] 탭 시 이동</t>
  </si>
  <si>
    <t>- 선택하면 신고 사유 선택 바텀시트(b9e69ae935cd)로 이동한다</t>
  </si>
  <si>
    <t>딤 영역 탭으로 닫기</t>
  </si>
  <si>
    <t>- 딤 영역을 탭하면 신고 없이 시트가 닫힌다</t>
  </si>
  <si>
    <t>메뉴 → 시트 표기</t>
  </si>
  <si>
    <t>- 메뉴 바깥 영역을 탭하면 신고 없이 메뉴가 닫힌다</t>
  </si>
  <si>
    <t>신고 사유 목록</t>
  </si>
  <si>
    <t>- 허위사실/투자사기유도, 스팸/부적절한 홍보, 욕설/비하/혐오발언, 음란물/선정적인 콘텐츠, 불법정보/유해콘텐츠, 개인정보노출, 도배/주제와 맞지 않음, 기타 — 총 8종
- 스크린샷은 '허위사실/투자사기유도'가 체크된 상태</t>
  </si>
  <si>
    <t>체크박스 형태 선택지</t>
  </si>
  <si>
    <t>- 체크박스 UI로 보아 복수 선택이 가능한 것으로 보인다(단일 선택 여부는 미확인)</t>
  </si>
  <si>
    <t>[신고하기] 제출</t>
  </si>
  <si>
    <t>- 선택한 사유로 신고가 접수된다
- 제출 후 결과 안내(토스트/팝업) 형태는 미확인</t>
  </si>
  <si>
    <t>커뮤니티 신고는 커뮤니티운영정책에 근거한 제재 절차의 시작점이다.</t>
  </si>
  <si>
    <t>[취소]</t>
  </si>
  <si>
    <t>- 선택 내용을 저장하지 않고 바텀시트를 닫는다</t>
  </si>
  <si>
    <t>글쓰기 헤더 · [운영정책]</t>
  </si>
  <si>
    <t>- 상단에 종목명·현재가·등락률이 고정 표시된다
- 우상단 [운영정책] → 커뮤니티 운영정책 문서로 이동</t>
  </si>
  <si>
    <t>운영정책 버튼은 커뮤니티운영정책 문서로 연결된다.</t>
  </si>
  <si>
    <t>작성 유의 안내문구</t>
  </si>
  <si>
    <t>- '광고, 비난, 도배성 등의 부적절하거나 불건전한 글을 남기면 영구적으로 활동이 제한될 수 있어요.' 문구가 상시 노출된다</t>
  </si>
  <si>
    <t>영구 활동 제한 등 제재 근거는 커뮤니티운영정책과 연결된다.</t>
  </si>
  <si>
    <t>본문 입력창 · 글자 수</t>
  </si>
  <si>
    <t>- 빈 상태(0/1000) — 최대 1,000자로 추정
- 입력을 시작하면 실시간으로 글자 수가 카운트된다(dc5c3d8d6359 참고)</t>
  </si>
  <si>
    <t>사진 첨부 아이콘</t>
  </si>
  <si>
    <t>- 좌하단 카메라 아이콘 → 이미지 첨부
- 최대 10장까지 첨부 가능(dc5c3d8d6359에서 '1/10' 표시로 확인)</t>
  </si>
  <si>
    <t>[글남기기] — 비활성 상태</t>
  </si>
  <si>
    <t>- 본문이 비어 있으면 버튼이 회색(비활성)으로 표시되어 제출되지 않는다
- 텍스트를 입력하면 진한 남색으로 활성화된다(dc5c3d8d6359 참고)</t>
  </si>
  <si>
    <t>본문 입력 진행 상태</t>
  </si>
  <si>
    <t>- 텍스트 입력 중 실시간으로 글자 수(예: 5/1000)가 갱신된다</t>
  </si>
  <si>
    <t>첨부 이미지 · 개수 표시</t>
  </si>
  <si>
    <t>- 첨부한 이미지 썸네일과 우상단 X(삭제) 버튼
- 좌상단 '1/10' — 최대 10장까지 첨부 가능, 현재 1장 첨부된 상태</t>
  </si>
  <si>
    <t>이미지 삭제(X)</t>
  </si>
  <si>
    <t>- 썸네일의 X를 누르면 해당 첨부가 제거된다</t>
  </si>
  <si>
    <t>[글남기기] — 활성 상태</t>
  </si>
  <si>
    <t>- 본문에 텍스트가 있으면 버튼이 진한 남색(활성)으로 바뀌어 제출 가능해진다</t>
  </si>
  <si>
    <t>기본 거래 계좌 설정 — 진입/닫기</t>
  </si>
  <si>
    <t>- 내주문 탭의 [계좌변경 &gt;]을 눌러 여는 화면(모달)
- 제목 '기본 거래 계좌 설정', 우상단 X로 닫기
- 안내문: '주문은 기본 계좌로만 가능해요. 다른 계좌로 거래하려면 기본 계좌를 변경해주세요. 기본 계좌는 이 기기에서만 기억해요.'</t>
  </si>
  <si>
    <t>현재 기본 계좌 카드</t>
  </si>
  <si>
    <t>- 체크 표시된 카드가 현재 기본 계좌(예: 한국ST거래증권, 마스킹된 계좌번호)
- 우측 [변경] 버튼으로 연결된 다른 계좌로 기본 계좌를 바꿀 수 있다</t>
  </si>
  <si>
    <t>거래 계좌 추가 — 섹션</t>
  </si>
  <si>
    <t>- '계좌를 추가하고 기본 계좌로 설정하면 바로 거래할 수 있어요' 안내
- 아직 연결하지 않은 증권사 목록이 아래에 카드로 나열된다</t>
  </si>
  <si>
    <t>증권사별 연결 카드 (연계정보 동의 + 계좌 연결하기)</t>
  </si>
  <si>
    <t>- 증권사명(예: 백년증권, KRST증권)마다 카드 1개
- [필수] 연계정보(CI) 수집·이용 및 제3자 제공 체크박스 — 우측 화살표로 상세 약관 확인 가능
- 체크 전에는 [계좌 연결 하기] 버튼이 비활성(회색)으로 보인다</t>
  </si>
  <si>
    <t>연계정보(CI) 수집·이용 및 제3자 제공 동의는 계좌 연결 진행의 필수 동의 항목으로, 개인정보처리방침·이용약관과 연계된 정책 사항이다.</t>
  </si>
  <si>
    <t>[완료] 버튼</t>
  </si>
  <si>
    <t>- 계좌 설정을 마치고 화면을 닫는다(기본 계좌 변경 반영)</t>
  </si>
  <si>
    <t>헤더 — MY 타이틀 + 설정/알림</t>
  </si>
  <si>
    <t>- 좌측 'MY' 타이틀, 우측 ⚙ 설정(/my/setting) · 🔔 알림(안읽음 배지, 로그인 상태에서만 표시)</t>
  </si>
  <si>
    <t>프로필 카드 — 등급 뱃지 / 닉네임 / 투자성향 칩</t>
  </si>
  <si>
    <t>- [일반]/[소득적격] 등급 뱃지 + 닉네임을 한 줄로 표시(카드는 얇게 축소, 재인증 게이트 밖)
- 투자성향 칩(R-10): 미실시 '투자성향, 지금 확인해요'(강조색) / 유효 '유형명 · ~만료월' / 만료 임박(D-30 이내) '유형명 · D-N' / 만료 '재실시가 필요해요'(경고색)
- 칩 탭 → 유효·임박: 결과 화면(S102) / 미실시: 안내 다이얼로그 후 설문 시작(S101) / 만료: '인정기간 만료' 재실시 안내 다이얼로그 후 설문
- 자격 상태 한 줄(R-11): 신청 가능하면 '투자자 자격 신청' 링크, 심사 중이면 '심사 중', 승인이면 '소득적격 ~만료일'
- 최신 결과·인정기간 확인과 재분석은 내 정보 &gt; 투자 성향 분석에서 수행</t>
  </si>
  <si>
    <t>프로필 카드 축소 · 투자성향 칩 4상태(R-10) · 자격 상태 한 줄(R-11)</t>
  </si>
  <si>
    <t>- [일반]/[소득적격] 등급 뱃지 + 닉네임, 아래 줄에 투자성향 유형명('위험중립형') 또는 미실시 시 밑줄 버튼 '나의 투자성향, 지금 확인해요.'
- 우측 [나의 투자성향 &gt;] 칩 — 결과가 유효(만료일 당일 포함)하면 결과 화면으로 바로 이동, 미실시면 안내 팝업 후 설문 시작, 만료면 '인정기간 만료' 문구가 담긴 재실시 안내 팝업으로 이동</t>
  </si>
  <si>
    <t>내 정보 진입 행</t>
  </si>
  <si>
    <t>- 탭 구조(나의 활동내역 / 내 정보수정)를 삭제하고 스크롤 허브의 목록 행으로 변경한다
- [내 정보] 행 탭 → 전체화면 재인증 게이트 → 통과 시 내 정보 수정 화면(R-09)</t>
  </si>
  <si>
    <t>재인증: 마지막 로그인 방식에 따라 비밀번호/간편인증/생체, 유효 5분(R-09)</t>
  </si>
  <si>
    <t>탭 구조 삭제 → 목록 행 + 재인증 규칙(R-09)</t>
  </si>
  <si>
    <t>- '내 정보수정' 탭으로 전환하는 순간 전체화면 재인증 게이트가 먼저 뜬다(마지막 로그인 방식에 따라 비밀번호/간편인증/생체)</t>
  </si>
  <si>
    <t>커뮤니티 카드 — 내가 쓴 글</t>
  </si>
  <si>
    <t>- '내가 쓴 글 0건' — 서버 집계 값. 탭하면 나의 활동 &gt; 커뮤니티(게시글 탭)로 이동한다</t>
  </si>
  <si>
    <t>문의내역 카드 — 전체 문의 / 답변대기중</t>
  </si>
  <si>
    <t>- 전체 문의 N건 / 답변대기중 N건(1건 이상이면 빨간 글씨) 2행
- '답변대기중' 행을 누르면 문의내역 화면이 답변대기 필터가 선적용된 채로 열린다</t>
  </si>
  <si>
    <t>내 자산 카드 (허브 첫 카드)</t>
  </si>
  <si>
    <t>- 프로필 카드 바로 아래에 배치한다. 계좌 셀렉터(R-04) · 나의 평가금(손익 금액·수익률) · 계좌잔고를 표시하고, 하단에 바로가기 4개 [보유종목 N] [주문 내역] [손익 현황] [거래 한도]를 제공한다
- 카드/바로가기 탭 → 내 자산 화면(S087)의 해당 탭
- 계좌 미연결: 평가금 영역 대신 [계좌 연결하기] CTA(계좌 연결의 유일한 진입점 — 기존 MY 계좌 관리 메뉴 삭제)
- 자산 요약은 재인증 없이 노출한다(R-09)</t>
  </si>
  <si>
    <t>수익률·평가금액은 이동평균법 기준 참고 수치이며 실제 정산 금액과 차이가 발생할 수 있음(약관 제14조)</t>
  </si>
  <si>
    <t>MY 허브 자산 중심 재구성</t>
  </si>
  <si>
    <t>관심 카드</t>
  </si>
  <si>
    <t>- '관심종목 N · 관심가게 N' 2행. 탭 → MY &gt; 관심 화면(해당 세그먼트 선택 상태)
- 0건이면 '관심 등록하고 모아보세요' 빈 상태 문구</t>
  </si>
  <si>
    <t>내 정보 · 투자자 자격 신청 행</t>
  </si>
  <si>
    <t>- [내 정보] 행(재인증 필요 표기), [투자자 자격 신청] 행(우측에 상태 텍스트, R-11)
- 계좌 관리 행은 두지 않는다(내 자산 계좌 셀렉터로 통합)</t>
  </si>
  <si>
    <t>비로그인 미리보기 상태</t>
  </si>
  <si>
    <t>- 비로그인으로 MY 탭에 진입하면 로그인 화면으로 바로 보내지 않고 미리보기를 보여준다: 상단 '로그인하면 내 자산과 관심 가게를 모아볼 수 있어요' + [로그인] [회원가입] 버튼, 하단에 내 자산·관심·활동 카드의 흐림(잠금) 프리뷰
- 하단 탭바는 정상 동작(R-08)</t>
  </si>
  <si>
    <t>가치 먼저 보여주는 비로그인 상태(R-08)</t>
  </si>
  <si>
    <t>[현재가|평가금] 표시 전환 드롭다운</t>
  </si>
  <si>
    <t>- 좌측 '현재가 v'를 누르면 행의 금액 표시를 현재가 ↔ 평가금(현재가×보유수량)으로 전환한다
- 평가금 모드에서는 등락 금액·등락률이 내 평균단가 대비로 바뀐다
- 선택은 앱을 쓰는 동안 기억되며(탭 이동해도 유지), 새로고침·재시작 시 현재가로 복귀</t>
  </si>
  <si>
    <t>화면 이동에 따라 경로 자동 반영(메뉴구조 시트)</t>
  </si>
  <si>
    <t>정렬 — '평가금 높은순' + 필터</t>
  </si>
  <si>
    <t>- 보유 목록 전용 정렬 3종(정렬 팝업, R-02): 평가금 높은순(기본)·현재가 높은순·가나다순 — 오름차순 선택지 없음(가나다순만 예외)
- 필터 아이콘은 부가 필터 시트 진입
- 정렬 변경 시 목록이 처음부터 다시 그려진다(펼친 것은 접힘)
- '평가금 높은순'은 보유수량 × 현재가(서버 산정) 기준으로 정렬한다(참고: 30-trade-list.md)</t>
  </si>
  <si>
    <t>정렬 선택을 정렬 팝업으로 통일(R-02)</t>
  </si>
  <si>
    <t>- 보유 탭 전용 정렬 3종: 평가금 높은순(기본)·현재가 높은순·가나다순 — 오름차순 선택지 없음(가나다순만 예외)
- 필터 아이콘은 부가 필터 시트 진입
- 정렬 변경 시 목록이 처음부터 다시 그려진다(펼친 것은 접힘)
- '평가금 높은순'은 보유수량 × 현재가(서버 산정) 기준으로 정렬한다(참고: 30-trade-list.md)</t>
  </si>
  <si>
    <t>보유 종목 카드 — 종목명/가게명/개당단가·수량/현재가·등락</t>
  </si>
  <si>
    <t>- 카드에 보유수량과 내 평균단가(수수료 미포함)가 함께 표시
- 우측에 현재가(또는 평가금)와 등락(▲빨강/▼파랑)
- 카드를 탭하면 종목 상세로 이동(상장폐지 종목 제외)</t>
  </si>
  <si>
    <t>이용약관 제14조 2항: 수익률과 평가금액은 소수점 이하를 절삭하여 표시되므로 실제 정산 금액과 차이가 발생할 수 있다.</t>
  </si>
  <si>
    <t>상장폐지 보유 종목 처리</t>
  </si>
  <si>
    <t>- 상장폐지 종목(listing_status=D)은 가격 자리에 '-', 그 아래 '상장폐지' 라벨
- 행이 비활성화되어 눌러도 종목 상세로 진입하지 않는다 — 공시·분배 이력을 확인할 경로가 없다(알려진 제약)</t>
  </si>
  <si>
    <t>보유 0건 / 계좌 미연결 상태</t>
  </si>
  <si>
    <t>- 보유 종목이 없으면 '보유 종목이 없어요.' 안내
- 증권계좌 미연결 회원은 이 목록 대신 '투자, 이제 시작만 남았어요.' + [계좌 연결하기] 전체화면 안내로 대체된다</t>
  </si>
  <si>
    <t>내 자산 상단 탭 (보유 / 주문 내역 / 손익 현황 / 거래 한도)</t>
  </si>
  <si>
    <t>- 내 자산 화면 상단 탭 4개: [보유] [주문 내역] [손익 현황] [거래 한도] — 2뎁스 언더라인 탭 스타일(R-03). 기존 거래 화면 탭(전체/보유/관심)과 보유 화면 3분할 칩(주문내역/손익 현황/거래 한도)을 이 탭으로 통합
- 탭 전환 시 하단 콘텐츠만 갱신되고 상단 공통 헤더(계좌 셀렉터·평가금·계좌잔고)는 유지된다
- 로그인 필요, 증권사 계좌 미연결이면 탭 진입 시 '투자, 이제 시작만 남았어요.' + [계좌 연결하기] 안내(기존 정책 유지). 거래 한도 탭의 계좌 게이트 적용 여부는 확인 필요(U-09)</t>
  </si>
  <si>
    <t>거래 하위 탭 → 내 자산 상단 4탭(R-03) / 명칭 통일: '나의 수익' → '손익 현황'</t>
  </si>
  <si>
    <t>- 3개 탭으로 구성된 세그먼트 메뉴이며 현재 '보유' 탭이 선택된 상태
- '전체' 탭: 보유 종목과 관심 종목을 함께 노출
- '보유' 탭: 현재 화면으로, 실제 보유 중인 종목만 노출
- '관심' 탭: 찜(관심등록)한 종목만 노출
- 각 탭 전환 시 하단 목록만 갱신되고 상단 계좌 요약 카드는 유지되는 것으로 추정
- 로그인 및 증권사 계좌 연결이 되어 있지 않으면 탭 진입 시 안내/유도 화면이 뜰 수 있음</t>
  </si>
  <si>
    <t>헤더 — 뒤로가기 · 타이틀 · 알림</t>
  </si>
  <si>
    <t>- 좌측 ← 뒤로가기(MY 허브 복귀), 중앙 타이틀 '내 자산', 우측 알림 벨
- 기존 프로필 아이콘은 삭제(MY 하위 화면이므로 중복)</t>
  </si>
  <si>
    <t>MY 하위 화면 헤더로 변경</t>
  </si>
  <si>
    <t>- 원형 아바타 버튼으로, 탭 시 마이페이지 또는 계정 관련 메뉴로 이동하는 동적 동작으로 추정
- href 정보가 감지되지 않아 정확한 이동 경로는 미상
- 로그인 상태를 시각적으로 표시하는 역할도 겸하는 것으로 보임</t>
  </si>
  <si>
    <t>알림 버튼</t>
  </si>
  <si>
    <t>- 종 모양 아이콘 버튼으로, 탭 시 알림함(체결 알림, 주문 만료 안내, 자격 갱신 안내 등)으로 이동하는 동적 동작으로 추정
- 미확인 알림이 있을 경우 배지(뱃지)가 표시될 수 있음 (현재 화면에는 배지 미노출)
- href 정보가 감지되지 않아 정확한 목적지는 미상</t>
  </si>
  <si>
    <t>- 공통 헤더 최상단에 '[증권사] 한국ST거래증권 ····1234 ⌄' 단일 컨트롤로 표시한다(기존 라벨형 계좌 뱃지 + (?) + [계좌변경 &gt;] 3요소 분리 표기 삭제)
- 탭 → 계좌 변경 바텀시트(S089). 연동 계좌가 1개면 chevron 없이 텍스트만 표시(탭 불가)
- 계좌 미연결 회원은 이 자리에 [계좌 연결하기] 버튼이 표시된다 — 계좌 연결의 유일한 진입점
- '기본 거래 계좌' 용어 설명(ⓘ)은 계좌 변경 바텀시트의 안내문으로 이동</t>
  </si>
  <si>
    <t>기본 거래 계좌는 마이페이지 또는 거래 화면에서 언제든지 변경할 수 있다.</t>
  </si>
  <si>
    <t>- 현재 설정된 기본 거래 계좌(연동 증권사명)를 표시하는 뱃지형 버튼
- 옆의 (?) 아이콘 탭 시 '기본 거래 계좌' 용어에 대한 툴팁/설명 팝업이 뜨는 것으로 추정
- 구매·판매 주문은 이 기본 거래 계좌로만 제출 가능
- 여러 증권사 계좌를 연동한 경우에도 화면에는 기본 계좌 1개만 표시됨</t>
  </si>
  <si>
    <t>계좌변경 버튼</t>
  </si>
  <si>
    <t>- 우측 상단의 '계좌변경 &gt;' 버튼으로, 탭 시 연동된 증권사 계좌 목록 중 기본 거래 계좌를 변경하는 화면/팝업으로 이동하는 동적 동작으로 추정
- 변경 즉시 상단 카드의 평가금·계좌잔고·보유 목록이 새 계좌 기준으로 갱신될 것으로 예상
- 연동된 계좌가 1개뿐인 경우 변경 옵션이 비활성화되거나 안내 문구가 뜰 수 있음 (미확인)</t>
  </si>
  <si>
    <t>계좌 셀렉터(기능 9)로 통합</t>
  </si>
  <si>
    <t>나의 평가금 / 계좌잔고 (주문 대기 금액 포함)</t>
  </si>
  <si>
    <t>- '나의 평가금': 보유 종목의 현재가 기준 평가금액 합계와 손익(금액·수익률)을 표시
- 수익률·평가금액은 플랫폼의 자체 이동평균법(평균 매입단가) 기준 참고 수치로, 소수점 이하 절삭 표시되어 실제 정산 금액과 차이가 발생할 수 있음
- '계좌잔고' 옆 화살표(⌄) 탭 시 상세 내역이 펼쳐지며, 이때 '주문 대기 금액'(미체결 주문으로 잠긴 금액)과 실제 주문가능금액이 구분 표시되는 동적 동작으로 추정
- 미체결 구매 주문이 있으면 해당 주문 금액+수수료만큼 잔고가 잠금(Lock) 처리되어 주문가능금액에서 제외됨</t>
  </si>
  <si>
    <t>수익률과 평가금액은 참고용이며 실제 손익과 다를 수 있다. 세금 계산 및 원천징수는 증권사에서 처리한다.</t>
  </si>
  <si>
    <t>주문내역 버튼</t>
  </si>
  <si>
    <t>- 탭 시 주문/체결 내역 조회 화면(내주문 탭 등)으로 이동
- 미체결, 부분체결, 체결완료, 주문취소 등 상태별 주문 목록을 확인 가능
- 실 API 기반이며 약 5초마다 자동 갱신되는 화면으로 연결되는 것으로 추정
- 로그인 및 계좌 연결이 되어 있지 않으면 접근 시 안내 토스트가 노출될 수 있음</t>
  </si>
  <si>
    <t>내 자산 상단 탭(기능 6)으로 대체 — 별도 버튼 삭제</t>
  </si>
  <si>
    <t>나의 수익 버튼</t>
  </si>
  <si>
    <t>- 탭 시 전체 보유 종목의 누적 수익률/손익 현황을 모아 보는 화면으로 이동하는 동적 동작으로 추정
- 표시되는 수익률은 이동평균법(평균 매입단가) 기준 플랫폼 자체 계산값으로 실제 증권사 정산 금액과 차이가 있을 수 있음
- href 정보가 감지되지 않아 정확한 목적지는 미상</t>
  </si>
  <si>
    <t>수익률·평가금액은 참고용 수치이며, 판매 수익 및 분배소득에 대한 세금은 증권사 정책에 따라 처리된다.</t>
  </si>
  <si>
    <t>거래 한도 버튼</t>
  </si>
  <si>
    <t>- 탭 시 현재 회원 등급(일반회원/소득적격회원) 기준의 보유 한도, 연간거래 한도, 1일 회전율 사용 현황을 보여주는 화면으로 이동하는 동적 동작으로 추정
- 한도 초과 시 신규 주문이 시스템에서 자동 거부됨을 안내하는 내용이 포함될 것으로 예상</t>
  </si>
  <si>
    <t>보유 한도: 일반회원 1,000만 원 / 소득적격회원 3,000만 원. 연간거래 한도: 일반회원 4,000만 원 / 소득적격회원 8,000만 원. 1일 회전율: 등급 무관 100% 이하 (초과 시 다음 영업일부터 거래 가능).</t>
  </si>
  <si>
    <t>필터 및 정렬 (현재가/평가금)</t>
  </si>
  <si>
    <t>- '필터' 버튼: 탭 시 보유 종목 목록을 좁히는 조건(예: 가게별, 종목별 등)을 선택하는 바텀시트가 뜨는 동적 동작으로 추정
- '현재가'/'평가금' 토글: 목록 우측에 표시되는 금액 기준을 현재가 또는 평가금(보유수량×현재가 등) 중 선택하여 전환
- 상단의 '평가금 높은순'은 현재 목록 정렬 기준을 나타내는 표시로, 별도 탭 시 정렬 옵션 변경 가능성 있음 (동적 동작 추정)
- 총 9건: 현재 필터/정렬 조건에 해당하는 보유 종목 총 개수
- 정렬 트리거(정렬명+▾) 탭 → 정렬 팝업(단일 선택, 즉시 적용). [필터] 아이콘 → 복수 조건 필터 바텀시트([초기화][적용])(R-02)</t>
  </si>
  <si>
    <t>정렬=팝업, 필터=바텀시트 구분(R-02)</t>
  </si>
  <si>
    <t>- '필터' 버튼: 탭 시 보유 종목 목록을 좁히는 조건(예: 가게별, 종목별 등)을 선택하는 바텀시트가 뜨는 동적 동작으로 추정
- '현재가'/'평가금' 토글: 목록 우측에 표시되는 금액 기준을 현재가 또는 평가금(보유수량×현재가 등) 중 선택하여 전환
- 상단의 '평가금 높은순'은 현재 목록 정렬 기준을 나타내는 표시로, 별도 탭 시 정렬 옵션 변경 가능성 있음 (동적 동작 추정)
- 총 9건: 현재 필터/정렬 조건에 해당하는 보유 종목 총 개수</t>
  </si>
  <si>
    <t>보유 종목 리스트 (종목 카드)</t>
  </si>
  <si>
    <t>- 보유 중인 종목을 카드 형태로 나열: 가게명/종목명, 개당 평균단가 및 보유수량, 우측에 현재가와 전일대비 등락률(%) 표시
- 카드 탭 시 해당 종목의 상세 화면(정보/호가/차트/내주문 탭 구성)으로 이동하는 동적 동작으로 추정 — 상세 화면 URL은 `/trade/{종목ID}` 형태로 유추됨
- 등락률 0.0%는 당일 체결 내역이 없어 전일 마지막 체결가와 동일함을 의미
- 예: '노을다반 서귀포 리모델링 1호' 개당 4,888원/120개 보유, 현재가 5,700원(0.0%)
- 예: '고요한상 안동 리모델링 1호' 개당 4,500원/1개 보유, 현재가 600,000원(0.0%)
- 최대 200건까지 표시되며 그 이상은 스크롤/더보기로 추가 노출되는 구조로 추정</t>
  </si>
  <si>
    <t>현재가는 가장 마지막에 체결된 가격이며, 오늘 거래가 없으면 어제(또는 최근 거래일) 마지막 체결가가 표시된다.</t>
  </si>
  <si>
    <t>하단 탭 내비게이션</t>
  </si>
  <si>
    <t>- 홈(집 아이콘): 탭 시 홈 화면(/home)으로 이동
- 백년가게(가게 아이콘): 탭 시 백년가게/가게 목록 화면(/stores)으로 이동 — 지도 기반 '내 주변' 탐색 등을 포함
- 거래(막대그래프 아이콘): 탭 시 거래 화면(/trade)으로 이동
- MY(사람 아이콘, 현재 선택됨): 탭 시 MY 허브(/my)로 이동 — 이 화면은 MY 하위(내 자산)
- 더보기(점 3개 아이콘): 탭 시 더보기 메뉴(/more)로 이동
- 각 항목은 로그인 여부와 무관하게 노출되나, 거래·MY 등 일부 기능은 진입 후 로그인/계좌 연결이 요구될 수 있음</t>
  </si>
  <si>
    <t>활성 탭 표기 변경</t>
  </si>
  <si>
    <t>- 홈(집 아이콘): 탭 시 홈 화면(/home)으로 이동
- 백년가게(가게 아이콘): 탭 시 백년가게/가게 목록 화면(/stores)으로 이동 — 지도 기반 '내 주변' 탐색 등을 포함
- 거래(막대그래프 아이콘, 현재 선택됨): 탭 시 거래 화면(/trade)으로 이동 — 현재 표시 중인 화면
- MY(사람 아이콘): 탭 시 마이페이지(/my)로 이동, 계좌 관리/차단 관리 등 포함
- 더보기(점 3개 아이콘): 탭 시 더보기 메뉴(/more)로 이동
- 각 항목은 로그인 여부와 무관하게 노출되나, 거래·MY 등 일부 기능은 진입 후 로그인/계좌 연결이 요구될 수 있음</t>
  </si>
  <si>
    <t>기간 선택 — '2026.08 ~ 2026.09 ▾'</t>
  </si>
  <si>
    <t>- 기본 기간은 1개월 전 ~ 이번 달, 연·월 선택 시트로 변경 가능(최대 1년, 초과 선택 시 안내 팝업)
- 기간을 바꾸면 목록이 20건부터 다시 로드된다</t>
  </si>
  <si>
    <t>[필터] — 주문상태 · 구매/판매</t>
  </si>
  <si>
    <t>- 필터 바텀시트(S077과 동일 컴포넌트, R-02). 주문상태(전체·미체결·체결·취소/만료) 1개 + 구매/판매(전체·구매·판매) 1개 — 각각 단일 선택
- '미체결'은 잔량이 있는 모든 주문(부분체결 진행 중 포함), '체결'은 체결 수량이 있는 모든 주문(부분체결 포함) — 수량 기반 포함 관계(R-05)
- 필터 변경 시 목록이 20건부터 다시 로드</t>
  </si>
  <si>
    <t>필터 기준 수량 기반 포함 관계로 재정의(R-05), 바텀시트 통일(R-02)</t>
  </si>
  <si>
    <t>- 주문상태(전체·미체결·부분체결·체결완료·취소) 1개 선택 + 구매/판매(전체·구매·판매) 1개 선택 — 각각 단일 선택만 가능
- 필터 변경 시 목록이 20건부터 다시 로드</t>
  </si>
  <si>
    <t>주문 카드 — 미체결 (수정+취소 아이콘)</t>
  </si>
  <si>
    <t>- 카드: 날짜(YY.MM.DD) · 개당 가격 · 방향(구매=빨강/판매=파랑) + 수량 표기 '미체결 N개'(R-05) + 만료 D-day(접수일+30일)
- 우측 상단에 연필(수정)·X(취소) 아이콘 — 미체결 잔량이 있는 카드에만 노출
- 카드 본문 탭 → 주문 상세 시트(S152)</t>
  </si>
  <si>
    <t>이용약관 제13조 6항: 미체결 또는 부분체결(잔여 수량) 상태의 주문은 직접 취소할 수 있으며, 취소 즉시 잠금(Lock)이 해제된다. 체결완료 상태의 주문은 이미 증권 이전이 완료되어 취소가 불가능하다.</t>
  </si>
  <si>
    <t>카드 표기 통일(R-05) · 만료 D-day 추가</t>
  </si>
  <si>
    <t>- 날짜(YY.MM.DD), 우측 상단에 연필(수정)·X(취소) 아이콘 — 미체결 주문에서만 둘 다 노출
- 하단에 가게·종목명, 개당 가격/수량·방향(구매=빨강), 상태 라벨</t>
  </si>
  <si>
    <t>주문 카드 — 체결완료 (아이콘 없음)</t>
  </si>
  <si>
    <t>- 수량 표기 '체결 N개'(R-05). 수정·취소 아이콘 없음(증권 이전 완료)
- 카드 본문을 탭하면 주문 상세 시트(S152)가 열려 체결 건별 내역(일시·체결가·수량)을 확인한다</t>
  </si>
  <si>
    <t>체결 표기 및 상세 시트 연결(R-05)</t>
  </si>
  <si>
    <t>- 체결완료 상태는 수정·취소 아이콘이 사라진다(더 이상 되돌릴 수 없음)
- 카드 본문을 탭하면 구매/판매정보 팝업(증권사·주문일시·상태·개당금액·총 수량)이 뜬다</t>
  </si>
  <si>
    <t>주문 카드 — 부분체결 (수정+취소 아이콘, 체결/미체결 구분 표기)</t>
  </si>
  <si>
    <t>- 표기 '체결 10개 · 미체결 2개'(주문 12개 기준, R-05) — 기존 '부분체결(잔여 N개)' 문구 대체
- 수정(연필)·취소(X) 아이콘 모두 노출 — 잔여(미체결) 수량에 대해서만 동작(기존 정의는 수정만 노출로 약관 제13조⑥과 불일치 → 정정)
- 카드 하단에 체결률 바(체결 수량/주문 수량)와 평균 체결가를 함께 표시(제안)
- 부분체결 후 취소·만료된 주문은 '체결 10개 · 취소 2개'로 표기하고 아이콘은 노출하지 않는다</t>
  </si>
  <si>
    <t>이용약관 제13조 2항·4항: 주문 수량의 일부만 체결될 수 있으며 체결되지 않은 나머지는 유효기간(접수일로부터 30일) 내에 미체결 상태로 유지되고, 기간이 지나면 자동 취소된다.</t>
  </si>
  <si>
    <t>부분체결 표기 및 취소 아이콘 정정(R-05)</t>
  </si>
  <si>
    <t>- 부분체결은 수정(연필) 아이콘만 노출(취소 아이콘 없음), 하단에 '부분체결(잔여 N개)' 표기
- 잔여 수량에 대해서만 수정·취소가 가능하다</t>
  </si>
  <si>
    <t>- 아이콘 버튼(←), href 없이 동적 동작으로 추정
- 클릭 시 이전 화면(종목 상세 등 진입 이전 화면)으로 복귀
- 별도 확인 팝업 없이 즉시 이동</t>
  </si>
  <si>
    <t>상단 탭바 (주문내역 / 나의 수익 / 거래 한도)</t>
  </si>
  <si>
    <t>- 3분할 세그먼트 버튼, 현재 '주문내역' 탭이 활성화(진한 배경)된 상태
- '나의 수익' 탭 클릭 시 종목별 수익률/평가금액 화면으로 전환
- '거래 한도' 탭 클릭 시 보유·연간거래·1일회전율 한도 현황 화면으로 전환
- 세 버튼 모두 href 없이 화면 내 콘텐츠만 전환되는 동적 탭 동작으로 추정</t>
  </si>
  <si>
    <t>탭 전환만으로는 로그인/계좌 상태가 바뀌지 않으며, 비로그인·계좌 미연결 시 각 탭 진입이 제한될 수 있음</t>
  </si>
  <si>
    <t>내 자산 상단 탭(S087-6)으로 통합</t>
  </si>
  <si>
    <t>기본 거래 계좌 안내 (?)</t>
  </si>
  <si>
    <t>- '한국ST거래증권' 배지 옆 물음표 아이콘 버튼
- 클릭 시 기본 거래 계좌의 의미(구매·판매 주문이 이 계좌로만 처리됨)를 설명하는 툴팁/팝업 노출로 추정
- href 없이 인앱 안내 레이어를 띄우는 동적 동작</t>
  </si>
  <si>
    <t>구매·판매 주문은 기본 거래 계좌로만 가능하며, 여러 증권사 계좌를 연동한 경우 기본 계좌를 지정해야 함</t>
  </si>
  <si>
    <t>계좌 셀렉터(S087-9)로 통합</t>
  </si>
  <si>
    <t>- '⇄ 계좌변경 &gt;' 버튼, href 없이 동적 동작으로 추정
- 클릭 시 연동된 여러 증권사 계좌 중 기본 거래 계좌를 선택/변경하는 화면 또는 바텀시트로 이동
- 변경 즉시 상단 카드의 평가금·계좌잔고·주문내역 목록이 새로 선택된 계좌 기준으로 갱신되는 것으로 추정</t>
  </si>
  <si>
    <t>기본 거래 계좌 변경은 마이페이지 또는 거래 화면에서 언제든지 가능</t>
  </si>
  <si>
    <t>나의 평가금 표시</t>
  </si>
  <si>
    <t>- '나의 평가금 3,803,000원' 및 손익 '+370,372 (10.7%)' 텍스트 영역 (목록에 별도 href 없음, 순수 표시 요소로 추정)
- 이동평균법(평균 매입단가) 기준 플랫폼 자체 계산 참고 수치
- 소수점 이하 절삭 표시로 실제 정산 금액과 차이가 발생할 수 있음
- 손익 상승 시 빨강, 하락 시 파랑으로 색상 구분되는 것으로 추정</t>
  </si>
  <si>
    <t>표시되는 평가금·수익률은 참고용이며, 세금 계산 및 원천징수는 증권사에서 처리하므로 실제 손익과 다를 수 있음</t>
  </si>
  <si>
    <t>내 자산 공통 헤더(S087-11)로 통합</t>
  </si>
  <si>
    <t>계좌잔고 / 주문 대기 금액 펼침</t>
  </si>
  <si>
    <t>- '계좌잔고 59,538,164원' 옆 화살표(⌄) 버튼, href 없이 동적 동작으로 추정
- 클릭 시 '주문 대기 금액'(미체결 구매 주문으로 잠긴 금액) 상세 내역이 펼쳐지는 것으로 추정
- 주문가능금액 = 계좌잔고 − 미체결 구매 주문 금액(수수료 포함)</t>
  </si>
  <si>
    <t>구매 주문 시 주문금액+수수료가 잠금(Lock) 처리되며, 주문 취소 또는 체결 완료 시 즉시 해제됨. 화면상 잔고는 마지막 조회 시점 값으로 실제 체결 시 차이가 발생할 수 있음</t>
  </si>
  <si>
    <t>조회 기간 선택 (2026.08~2026.09)</t>
  </si>
  <si>
    <t>- 기간 드롭다운 버튼, href 없이 동적 동작으로 추정
- 클릭 시 월 선택 캘린더 팝업(닫기, ‹, ›, 1월~6월 등 월 버튼) 노출
- 기간 선택 후 적용하면 해당 기간의 주문/체결 내역만 목록에 재조회되어 처음부터 표시</t>
  </si>
  <si>
    <t>- '필터' 버튼, href 없이 동적 동작으로 추정
- 클릭 시 바텀시트가 열리며 '주문상태'(전체/미체결/부분체결/체결완료/취소)와 '구매/판매'(전체/구매/판매) 두 섹션에서 각각 1개만 선택 가능
- 적용 시 목록이 처음 20건부터 다시 로드됨(더보기로 펼친 내용은 초기화)
- 선택 없이 적용하면 해당 섹션은 '전체'로 처리</t>
  </si>
  <si>
    <t>필터(기능 2)와 중복</t>
  </si>
  <si>
    <t>주문 카드 - 체결완료 예시 (고요한상 안동 리모델링 1호)</t>
  </si>
  <si>
    <t>- '26.09.14 개당 500,000원 · 구매 · 체결 1개' 카드(R-05). 카드 본문 탭 → 주문 상세 시트(S152)
- 체결완료이므로 수정/취소 아이콘 없음
- 수량은 총 주문수량이 아닌 체결 수량 기준으로 표시</t>
  </si>
  <si>
    <t>체결완료 주문은 증권 이전이 완료된 상태이므로 취소 불가</t>
  </si>
  <si>
    <t>체결 표기 통일(R-05)</t>
  </si>
  <si>
    <t>- '26.09.14 개당 500,000원 / 1개 구매 / 체결완료' 카드, href 없이 동적 동작으로 추정
- 카드 본문 탭 시 해당 주문의 구매정보 상세 팝업(체결가·수량·수수료 등) 노출
- 체결완료 상태이므로 수정/취소 아이콘이 표시되지 않음(이미 증권 이전이 완료된 주문)
- 수량은 미체결 잔량이 아닌 총 주문수량 기준으로 표시</t>
  </si>
  <si>
    <t>주문 카드 - 미체결 예시 (노을다반 서귀포 리모델링 1호)</t>
  </si>
  <si>
    <t>- '26.09.14 개당 6,200원 · 판매 · 미체결 1개 · 만료 D-30' 카드(R-05)
- 카드 본문 탭 → 주문 상세 시트(S152). 우측에 수정(연필)·취소(×) 아이콘 노출
- 주문 목록은 5초마다 자동 갱신되어 체결 발생 시 수초 내 상태가 바뀜</t>
  </si>
  <si>
    <t>주문 후 30일이 지나도 체결되지 않으면 자동 취소되며, 잠금(Lock)된 잔고도 함께 해제됨</t>
  </si>
  <si>
    <t>미체결 표기 통일(R-05)</t>
  </si>
  <si>
    <t>- '26.09.14 개당 6,200원 / 1개 판매 / 미체결' 카드, href 없이 동적 동작으로 추정
- 카드 본문 탭 시 판매정보 상세 팝업(미체결 잔량 펼치기 포함) 노출
- 미체결 상태이므로 우측에 수정(연필)·취소(×) 아이콘이 함께 노출됨
- 주문 목록은 5초마다 자동 갱신되어 체결 발생 시 수초 내 상태가 바뀜</t>
  </si>
  <si>
    <t>수정(연필) 아이콘</t>
  </si>
  <si>
    <t>- 미체결/부분체결(잔여 수량) 주문에만 노출되는 버튼, href 없이 동적 동작으로 추정
- 클릭 시 해당 주문 정보가 채워진 주문 폼(정정 모드)으로 이동
- 체결완료 주문에는 노출되지 않음</t>
  </si>
  <si>
    <t>취소(×) 아이콘</t>
  </si>
  <si>
    <t>- 미체결/부분체결(잔여 수량) 주문에만 노출되는 버튼, href 없이 동적 동작으로 추정
- 클릭 시 취소 확인 팝업이 뜨고, 확인 시 즉시 주문 취소 및 잠금(Lock) 해제
- 취소 직후 주문 목록·잔고·호가가 즉시 재조회되어 반영
- 체결완료 주문에는 노출되지 않음(취소 불가)</t>
  </si>
  <si>
    <t>체결완료 상태는 이미 증권 이전이 완료되어 취소가 불가능함</t>
  </si>
  <si>
    <t>미체결 바로가기 칩</t>
  </si>
  <si>
    <t>- 기간·필터 행 위에 '미체결 N건' 칩을 노출한다. 탭하면 필터가 '미체결'로 적용된 상태로 전체 계좌 기준 목록을 다시 조회한다. 미체결이 0건이면 칩을 숨긴다
- 종목 상세의 '대기'는 종목 단위, 이 칩은 전체 종목 기준 미체결 모아보기다</t>
  </si>
  <si>
    <t>미체결 건 조회 동선 추가(R-05)</t>
  </si>
  <si>
    <t>주문 상세 바텀시트 헤더</t>
  </si>
  <si>
    <t>- 주문 카드 본문을 탭하면 열리는 바텀시트(R-01). 타이틀 '구매 주문 상세' / '판매 주문 상세', 우측 X
- 상단: 가게명·종목명, 방향(구매=빨강/판매=파랑), 상태 배지</t>
  </si>
  <si>
    <t>주문 요약</t>
  </si>
  <si>
    <t>- 증권사(계좌관리기관)·주문일시·주문가(개당)·주문 수량·체결 수량·미체결 수량(·취소 수량)·총 주문금액·수수료를 표로 표시
- 수량 표기는 R-05(체결 N개 · 미체결 M개)를 따른다</t>
  </si>
  <si>
    <t>체결 건별 내역</t>
  </si>
  <si>
    <t>- 체결 건별 내역(체결일시·체결가·체결 수량·체결금액)을 최신순으로 나열한다. 부분체결은 여러 번에 나뉘어 체결될 수 있어 건별로 보여준다
- 상단에 평균 체결가(가중평균)를 한 줄로 표시. 체결 이력이 없으면 영역을 숨긴다</t>
  </si>
  <si>
    <t>표시 금액은 참고용이며 실제 정산은 증권사 기준(약관 제14조)</t>
  </si>
  <si>
    <t>만료 D-day</t>
  </si>
  <si>
    <t>- 미체결 수량이 있으면 '만료 D-N(접수일+30일)'을 표시한다. 만료 시 미체결분은 자동 취소되고 잠금 금액이 해제된다</t>
  </si>
  <si>
    <t>주문 유효기간 30일, 만료 시 자동 취소(제11조④·제13조④)</t>
  </si>
  <si>
    <t>- 미체결 수량이 있을 때만 [잔량 수정] [잔량 취소] 노출(체결완료·취소 건은 [닫기]만)
- [잔량 수정] → 정정 주문 화면(수량·가격은 잔량 기준), [잔량 취소] → 취소 확인 다이얼로그(R-01) 후 즉시 취소·잠금 해제</t>
  </si>
  <si>
    <t>미체결·부분체결 잔여 수량만 취소 가능, 체결완료는 취소 불가(제13조⑥)</t>
  </si>
  <si>
    <t>헤더 — 닫기(X) · '기본 거래 계좌 설정'</t>
  </si>
  <si>
    <t>- 우상단 X로 바텀시트를 닫는다
- 안내문: '주문은 기본 계좌로만 가능해요. 다른 계좌로 거래하려면 기본 계좌를 변경해주세요.' / '기본 계좌는 이 기기에서만 기억해요.'
- 진입점: 내 자산 계좌 셀렉터와 종목 상세 내 주문 탭의 계좌 셀렉터에서만 호출한다(R-04). '기본 거래 계좌'의 의미(주문은 기본 계좌로만 가능)는 이 시트 상단 안내문에 통합</t>
  </si>
  <si>
    <t>이용약관 제6조 2항: 구매·판매 주문은 기본 거래 계좌로 설정한 계좌로만 가능하며, 기본 거래 계좌 변경은 마이페이지 또는 거래 화면에서 언제든지 가능하다.</t>
  </si>
  <si>
    <t>진입점 통합(R-04)</t>
  </si>
  <si>
    <t>- 우상단 X로 바텀시트를 닫는다
- 안내문: '주문은 기본 계좌로만 가능해요. 다른 계좌로 거래하려면 기본 계좌를 변경해주세요.' / '기본 계좌는 이 기기에서만 기억해요.'</t>
  </si>
  <si>
    <t>현재 기본 계좌 카드 (한국ST거래증권)</t>
  </si>
  <si>
    <t>- 체크 표시(파란 테두리)로 현재 선택된 기본 계좌를 표시
- 계좌번호는 마스킹(TEST****O...)되어 노출
- [변경] 버튼으로 다른 연결 계좌로 기본 계좌 전환 가능</t>
  </si>
  <si>
    <t>거래 계좌 추가 섹션 안내</t>
  </si>
  <si>
    <t>- '계좌를 추가하고 기본 계좌로 설정하면 바로 거래할 수 있어요' 문구로 미연결 증권사 추가를 유도</t>
  </si>
  <si>
    <t>미연결 증권사 카드 — 백년증권/KRST증권</t>
  </si>
  <si>
    <t>- 증권사별 카드에 [필수] 연계정보(CI) 수집·이용 및 제3자 제공 동의 체크박스(펼침 화살표로 상세 약관 확인 가능)
- 동의 체크 전에는 [계좌 연결 하기] 버튼이 비활성(회색)으로 보인다
- 동의 후 버튼을 누르면 해당 증권사 계좌 연결 플로우로 이동</t>
  </si>
  <si>
    <t>이용약관 제6조 1·3항: 여러 증권사 계좌를 동시에 연동할 수 있으며, 플랫폼과 증권사는 회원의 개인식별번호(CI)를 기준으로 동일인 여부를 확인하고 계좌 정보를 암호화하여 주고받는다.</t>
  </si>
  <si>
    <t>하단 [완료] 버튼</t>
  </si>
  <si>
    <t>- 계좌 선택/추가를 마치고 바텀시트를 닫는 확정 버튼</t>
  </si>
  <si>
    <t>기간 + '2026년 총 손익' 뱃지 + 필터</t>
  </si>
  <si>
    <t>- 상단에 연도별 합계 뱃지(예: '2026년 총 손익')와 별도로 기간 드롭다운(최대 1년)·필터가 있다
- 필터로 기간과 수익 구분(전체·확정수익·분배금) 중 1개를 선택</t>
  </si>
  <si>
    <t>분배금 카드 (라벨: 분배금)</t>
  </si>
  <si>
    <t>- 날짜 + 우측 '분배금' 라벨, 가게·종목명, 금액
- 세금 표시 없이 세전 금액만 보여준다(하단 별도 안내)</t>
  </si>
  <si>
    <t>이용약관 제16조 3항 및 소득세법 개정(2025.7.1 시행 — 분배소득으로 명칭 변경): 투자한 종목의 매출을 바탕으로 산정된 분배금은 종목별 정책에 따라 월·분기·연 단위로 지급되며, 세금은 증권사 정책에 따라 처리된다.</t>
  </si>
  <si>
    <t>매매손익 카드 (문서상 '확정수익' 라벨과 명칭 차이)</t>
  </si>
  <si>
    <t>- 날짜 + 우측 '매매손익' 라벨, 금액이 양수(빨강)로 표시
- 참고 문서(33-trade-history.md)는 이 항목을 '확정수익'이라 지칭하여 실제 화면 라벨과 차이가 있다</t>
  </si>
  <si>
    <t>매매손익 카드 (음수/손실)</t>
  </si>
  <si>
    <t>- 손실은 파랑으로 표시되고 금액 앞에 '-' 부호가 붙는다(한국 금융 관습: 상승·이익=빨강, 하락·손실=파랑)
- 목록은 확정수익+분배수익을 합쳐 최신순, 페이징 없음(전량 조회)</t>
  </si>
  <si>
    <t>이용약관 제14조: 플랫폼에 표시되는 수익률과 평가금액은 이동평균법(평균 매입단가) 기준의 참고 수치이며 소수점 이하를 절삭하여 표시하므로 실제 정산 금액과 차이가 발생할 수 있다.</t>
  </si>
  <si>
    <t>빈 상태 · 세금 안내</t>
  </si>
  <si>
    <t>- 수익 내역이 없으면 '수익 내역이 없어요.' 안내
- 화면 하단에 '실제 받는 금액은 세금이 제외된 금액이에요.…연동 증권사 앱에서 확인' 안내 문구가 표시된다(세전 금액만 노출)</t>
  </si>
  <si>
    <t>이용약관 제16조 2항: 판매 수익과 분배금에 대한 세금은 증권사 정책에 따라 처리되며, 플랫폼은 원천징수 여부를 직접 확인할 수 없다.</t>
  </si>
  <si>
    <t>- 좌상단 화살표 아이콘 버튼
- 탭하면 이전 화면(가게/종목 상세 등 진입 전 화면)으로 복귀
- href 미검출 — 앱 내 스택 네비게이션의 동적 뒤로가기 동작으로 추정</t>
  </si>
  <si>
    <t>주문내역 탭</t>
  </si>
  <si>
    <t>- 상단 3개 세그먼트 탭 중 첫 번째
- 탭하면 '주문내역' 화면으로 전환되어 미체결/부분체결/체결완료/취소 상태의 주문 목록을 확인
- 비로그인 상태에서 접근 시 로그인 안내가 뜨고 탭이 열리지 않을 수 있음 (참고 문서 04-myorders.md 진입 게이트 기준)
- 계좌 미연결 상태에서는 계좌 연결 안내가 표시될 수 있음</t>
  </si>
  <si>
    <t>나의 수익 탭 (현재 선택됨)</t>
  </si>
  <si>
    <t>- 상단 3개 세그먼트 탭 중 두 번째, 현재 활성(진하게 강조된) 상태
- 현재 화면이 바로 이 탭으로, 확정 수익·분배 수익 요약과 기간별 수익 내역 목록을 보여줌
- 재탭 시 화면 새로고침(맨 위로 스크롤 등)이 발생할 수 있음 (동적 동작으로 추정)</t>
  </si>
  <si>
    <t>거래 한도 탭</t>
  </si>
  <si>
    <t>- 상단 3개 세그먼트 탭 중 세 번째
- 탭하면 '거래 한도' 화면으로 이동, 회원 등급별 보유 한도·연간거래 한도·1일 회전율 현황을 확인 가능
- href 미검출 — 세그먼트 전환은 클라이언트 사이드 동적 처리로 추정</t>
  </si>
  <si>
    <t>일반회원 보유한도 1,000만원/연간거래한도 4,000만원, 소득적격회원 보유한도 3,000만원/연간거래한도 8,000만원, 1일 회전율 100% 이하(초과 시 다음 영업일부터 거래 가능) — 약관 제10조 한도 기준표 근거</t>
  </si>
  <si>
    <t>수익 요약 카드</t>
  </si>
  <si>
    <t>- 확정 수익(세전): 3,795원 — 체결 완료된 판매 거래에서 발생한 세전 손익 합계로 추정
- 분배 수익: 0원 — 보유 종목의 분배금 누적 지급액으로 추정, 현재 미지급
- 연도는 카드 우측 연도 셀렉터('2026년 ⌄', 탭 시 연도 선택 팝업(단일 선택, R-02))로 변경한다 — 기존 뱃지형 표시(탭 가능 여부 불명확)를 명시적 컨트롤로 교체
- 계좌관리기관 뱃지는 삭제(공통 헤더 계좌 셀렉터로 통합)</t>
  </si>
  <si>
    <t>플랫폼에 표시되는 수익률·평가금액은 이동평균법(평균 매입단가) 기준의 참고 수치이며 소수점 이하 절삭 표시로 실제 정산 금액과 차이가 발생할 수 있음. 세금(분배소득 등) 계산 및 원천징수는 증권사 정책에 따라 별도 처리됨 (약관 제14조, 제16조)</t>
  </si>
  <si>
    <t>계좌 뱃지 삭제·연도 셀렉터로 교체(R-04)</t>
  </si>
  <si>
    <t>- '한국ST거래증권' 계좌관리기관 배지 + '2026년' 연도 배지 표시
- 확정 수익(세전): 3,795원 — 체결 완료된 판매 거래에서 발생한 세전 손익 합계로 추정
- 분배 수익: 0원 — 보유 종목의 분배금 누적 지급액으로 추정, 현재 미지급
- 배지 탭 시 계좌사 변경 또는 연도 변경 동작이 있을 수 있음 (href 미검출, 동적 동작 추정)</t>
  </si>
  <si>
    <t>조회 기간 선택 버튼</t>
  </si>
  <si>
    <t>- '2026.08 ~ 2026.09' 형식으로 현재 조회 중인 기간을 표시, 우측 역삼각형 아이콘
- 탭하면 연/월 선택 바텀시트가 열림 (‹›로 연도 이동, 1월~12월 버튼으로 월 선택, 하단 [취소]/[적용] 버튼으로 확정 또는 닫기)
- [적용] 선택 시 선택한 기간 기준으로 수익 내역 목록이 다시 조회되어 표시
- [취소] 또는 [닫기] 선택 시 변경 없이 바텀시트만 닫힘
- href 미검출 — 모든 상호작용은 클라이언트 상태 변경으로 추정</t>
  </si>
  <si>
    <t>- 우상단 '필터' 아이콘 버튼
- 탭하면 필터 옵션(구매/판매 구분, 상태 등으로 추정)을 선택하는 바텀시트가 열릴 것으로 보임
- 선택 적용 시 하단 수익 내역 목록이 필터 조건에 맞게 재조회될 것으로 추정
- href 미검출 — 정확한 필터 항목 구성은 화면만으로 단정 불가</t>
  </si>
  <si>
    <t>수익 내역 리스트 (로딩 중)</t>
  </si>
  <si>
    <t>- 선택한 기간(2026.08~2026.09) 동안의 개별 수익 내역을 카드 형태로 나열
- 현재 스크린샷은 데이터 로딩 중인 스켈레톤(회색 placeholder) 상태로, 실제로는 종목 썸네일 이미지·종목명·거래일자·수익금액 등이 표시될 것으로 추정
- 각 카드 우측의 알약형 배지는 수익/손실 여부 또는 상태(예: 확정/분배) 표시로 추정
- 카드 탭 시 해당 거래의 상세 내역 팝업 또는 화면으로 이동할 것으로 추정
- href 미검출 — 목록 항목 동작은 화면만으로 단정 불가</t>
  </si>
  <si>
    <t>거래한도 탭 — 계좌 게이트 없음</t>
  </si>
  <si>
    <t>- 다른 두 탭(주문내역·손익 현황)과 달리 이 화면은 계좌 게이트가 없어 로그인·계좌 미연결 상태에서도 0원/0%로 그려진다(알려진 제약 U-09)
- 한도가 '무제한'인 계정도 화면상 0원으로 보일 수 있다(U-10, 표기 검토 필요)</t>
  </si>
  <si>
    <t>명칭 통일: '나의 수익' → '손익 현황'</t>
  </si>
  <si>
    <t>- 다른 두 탭(주문내역·나의 수익)과 달리 이 화면은 계좌 게이트가 없어 로그인·계좌 미연결 상태에서도 0원/0%로 그려진다(알려진 제약 U-09)
- 한도가 '무제한'인 계정도 화면상 0원으로 보일 수 있다(U-10, 표기 검토 필요)</t>
  </si>
  <si>
    <t>조회 기간 표시 — '2026년.01~ 현재'</t>
  </si>
  <si>
    <t>- 한도 산정 기준 기간을 안내(연초부터 현재까지)
- 탭 진입마다 재조회되며 자동 갱신은 없다</t>
  </si>
  <si>
    <t>보유한도 게이지 — ⓘ 툴팁</t>
  </si>
  <si>
    <t>- '보유한도' 옆 ⓘ 를 누르면 3초 후 자동으로 닫히는 설명 툴팁이 뜬다
- 현재 보유 금액(빨강, 구매 후 보유 금액 기준) / 한도 / 진행 바 / 예상 잔여 금액을 함께 보여준다</t>
  </si>
  <si>
    <t>이용약관 제10조 3항: 보유 한도는 일반회원 1,000만 원 / 소득적격회원 3,000만 원이며, 구매 후 현재 보유 금액(수수료 제외) 기준으로 산정된다. 한도 초과 시 기존 보유 종목을 판매해야 추가 구매가 가능하다.</t>
  </si>
  <si>
    <t>연간거래한도 게이지</t>
  </si>
  <si>
    <t>- 올해 1월 1일부터 현재까지 판매한 누적 총액을 자동 계산해 표시(1년간 판매 금액 기준)
- 예상 잔여 금액을 함께 표시</t>
  </si>
  <si>
    <t>이용약관 제10조 3항: 연간거래 한도는 일반회원 4,000만 원 / 소득적격회원 8,000만 원이며, 올해 1월 1일부터 현재까지 판매한 누적 총액 기준으로 자동 계산된다.</t>
  </si>
  <si>
    <t>1일 회전율 게이지 (오늘 사용 0% / 허용 100%)</t>
  </si>
  <si>
    <t>- 오늘 거래한 활동량을 판매 금액 비율로 표시, 허용치는 100%
- 100% 초과 시 다음 영업일부터 거래 가능(당일 추가 거래 불가)</t>
  </si>
  <si>
    <t>이용약관 제10조 3항 및 제13조 3항: 1일 회전율은 하루 동안 판매한 금액이 현재 보유 금액의 100%를 초과할 수 없으며, 초과 시 다음 영업일부터 거래가 가능하다.</t>
  </si>
  <si>
    <t>- 좌측 상단 화살표 아이콘 버튼
- 클릭 시 이전 화면(MY 허브)으로 이동
- href 정보 없이 앱 내 뒤로가기 동작으로 추정됨</t>
  </si>
  <si>
    <t>복귀 대상 변경</t>
  </si>
  <si>
    <t>- 좌측 상단 화살표 아이콘 버튼
- 클릭 시 이전 화면(거래/보유 진입 전 화면)으로 이동
- href 정보 없이 앱 내 뒤로가기 동작으로 추정됨</t>
  </si>
  <si>
    <t>거래 한도 탭 (현재 선택됨)</t>
  </si>
  <si>
    <t>- '거래/보유' 메뉴 내 3개 탭('주문내역', '나의 수익', '거래 한도') 중 하나
- 현재 화면은 '거래 한도' 탭이 활성 상태(진한 남색 배경)로 선택되어 있음
- 회원 등급별 보유한도·연간거래한도·1일 회전율 현황을 확인하는 화면
- 로그인 및 증권사 계좌 연결이 완료된 회원만 접근 가능</t>
  </si>
  <si>
    <t>한도(보유 금액, 연간거래 한도, 1일 회전율)는 주문 제출 시점에 시스템에서 확인하며, 거래가 체결될 때 최종 반영됩니다. 한도를 초과하는 주문은 자동 거부됩니다.</t>
  </si>
  <si>
    <t>- 탭 클릭 시 주문내역(체결/미체결 등) 조회 화면으로 이동
- href 정보가 없어 화면 내 상태 전환(탭 전환) 방식의 동적 동작으로 추정
- 비로그인 상태에서는 이용이 제한되며, 로그인 안내가 표시될 수 있음
- 계좌 미연결 시 계좌 연결 안내가 표시될 수 있음</t>
  </si>
  <si>
    <t>나의 수익 탭</t>
  </si>
  <si>
    <t>- 탭 클릭 시 회원의 투자 수익률/평가금액 조회 화면으로 이동
- href 정보가 없어 탭 전환 방식의 동적 동작으로 추정
- 표시되는 수익률·평가금액은 플랫폼이 이동평균법(평균 매입단가) 기준으로 자체 계산한 참고 수치로 실제 정산 금액과 차이가 발생할 수 있음</t>
  </si>
  <si>
    <t>수익률과 평가금액은 소수점 이하를 절삭하여 표시되므로 실제 손익과 차이가 있을 수 있습니다. 세금 계산 및 원천징수는 증권사에서 처리합니다.</t>
  </si>
  <si>
    <t>연동 증권사 선택 뱃지</t>
  </si>
  <si>
    <t>- '한국ST거래증권' 등 연동된 계좌관리기관(증권사) 명이 표시된 뱃지형 UI
- 여러 증권사 계좌를 동시에 연동한 경우 선택하여 해당 계좌 기준 한도 정보를 전환 조회하는 용도로 추정
- 구매·판매 주문은 기본 거래 계좌로 설정된 계좌 기준으로만 가능</t>
  </si>
  <si>
    <t>한도는 해당 증권사(한국ST거래)의 연결 계좌 합계 금액을 기준으로 적용됩니다.</t>
  </si>
  <si>
    <t>조회 연도 선택 뱃지</t>
  </si>
  <si>
    <t>- '2026년' 등 조회 기준 연도를 나타내는 뱃지형 UI
- 연간거래한도는 해당 연도 1월 1일부터 현재까지의 누적 판매 총액 기준으로 계산되므로, 연도 전환 시 하단 '연간거래한도' 값이 갱신될 것으로 추정</t>
  </si>
  <si>
    <t>기능 2(조회 기간 표시)와 중복 — 읽기 전용 캡션으로 통일</t>
  </si>
  <si>
    <t>계좌잔고 요약 카드</t>
  </si>
  <si>
    <t>- 연동 증권사 및 조회 연도 하단에 계좌잔고 금액(예: 59,538,164원)을 표시
- 실제 구매·판매 가능 여부는 주문 제출 시점에 재확인됨
- 화면에 표시되는 계좌 잔고는 마지막으로 조회된 정보이며 실시간 값과 차이가 발생할 수 있음</t>
  </si>
  <si>
    <t>계좌 잔고, 한도는 마지막 주문 기준으로 표시되며, 실제 주문 시 다를 수 있어요.</t>
  </si>
  <si>
    <t>보유한도 섹션 및 도움말(?)</t>
  </si>
  <si>
    <t>- 제목 옆 물음표(?) 아이콘 탭 시 '보유한도' 용어에 대한 설명 툴팁/팝업이 뜨는 것으로 추정
- 보유한도는 구매 후 현재 보유 금액 기준(수수료 제외)으로 산정
- 한도 초과 시 기존 보유 종목을 판매한 후에만 추가 구매가 가능</t>
  </si>
  <si>
    <t>일반 회원 보유한도: 1,000만 원 / 소득적격 회원 보유한도: 3,000만 원</t>
  </si>
  <si>
    <t>보유한도 현황 (현재 보유 / 한도 / 예상 잔여)</t>
  </si>
  <si>
    <t>- 좌측에 현재 보유 금액(3,497,848원, 빨간색 강조), 우측에 한도(10,000,000원) 표시
- 하단 그라디언트 진행 바(오렌지→레드)로 한도 대비 사용률을 시각화
- 진행 바 아래 '예상 잔여' 금액(6,502,152원)을 함께 표시하여 추가로 보유 가능한 금액을 안내
- 별도 입력/클릭 동작은 없는 단순 정보 표시 요소로 추정</t>
  </si>
  <si>
    <t>구매 후 현재 보유 금액 기준(수수료 제외)이며, 한도 초과 시 기존 보유 종목 판매 후 구매가 가능합니다.</t>
  </si>
  <si>
    <t>연간거래한도 섹션</t>
  </si>
  <si>
    <t>- 도움말(?) 아이콘 탭 시 '연간거래한도' 용어 설명이 뜨는 것으로 추정
- '올해 판매' 누적 금액(95,800원)과 '한도'(40,000,000원)를 상하 대비로 표시
- 진행 바로 사용률을 표시하고, 하단에 '예상 잔여' 금액(39,904,200원) 표시
- 올해 1월 1일부터 현재까지 판매한 누적 총액을 기준으로 자동 계산됨</t>
  </si>
  <si>
    <t>일반 회원 연간거래한도: 4,000만 원 / 소득적격 회원 연간거래한도: 8,000만 원</t>
  </si>
  <si>
    <t>1일 회전율 섹션</t>
  </si>
  <si>
    <t>- 도움말(?) 아이콘 탭 시 '1일 회전율' 용어 설명이 뜨는 것으로 추정
- '오늘 사용' 비율(0%)과 '허용' 한도(100%)를 상하 대비로 표시
- 진행 바로 오늘 거래 활동량 대비 사용률 표시, 하단에 '예상 거래 가능금액'(59,538,164원) 표시
- 오늘 거래한 활동량 기준으로 계산되며, 당일 100% 초과 시 다음 영업일부터 거래 재개</t>
  </si>
  <si>
    <t>일반 회원·소득적격 회원 모두 1일 회전율 100% 이하로 제한됩니다. 하루 판매 금액이 보유 금액의 100%를 초과하면 다음 영업일부터 거래가 가능합니다.</t>
  </si>
  <si>
    <t>하단 유의사항 안내문</t>
  </si>
  <si>
    <t>- 화면 최하단에 회색 텍스트로 표시되는 정책성 유의 문구 2줄
- 클릭/입력 동작이 없는 순수 정보 표시 텍스트</t>
  </si>
  <si>
    <t>계좌 잔고, 한도는 마지막 주문 기준으로 표시되며, 실제 주문시 다를 수 있어요. / 한도는 한국ST거래의 연결 계좌의 합계 금액을 기준으로 적용돼요.</t>
  </si>
  <si>
    <t>[한도 늘리기] 링크</t>
  </si>
  <si>
    <t>- 보유한도 게이지 하단에 [한도 늘리기 &gt;] 링크를 노출한다(일반회원·신청 가능 상태일 때만). 탭 → 투자자 자격 신청(S124)
- 한도 초과로 주문이 거부된 경우의 안내 메시지에도 동일한 링크를 제공한다</t>
  </si>
  <si>
    <t>일반회원 보유한도 1,000만원/연간거래한도 4,000만원, 소득적격회원 3,000만원/8,000만원(약관 제10조 ③)</t>
  </si>
  <si>
    <t>투자자 자격 신청 진입점 추가(R-11)</t>
  </si>
  <si>
    <t>관심종목 탭 헤더 — 'N건' + 정렬</t>
  </si>
  <si>
    <t>- '관심종목 10건'은 서버가 알려주는 총 건수(화면에 10건만 보여도 정상)
- 우측 정렬은 거래 종목 목록과 동일한 6종(정렬 팝업, R-02)(많이 오른순·거래량 많은순·거래대금 높은순·시가총액 높은순·최근 상장순·가나다순) 중 선택, 기본은 많이 오른순</t>
  </si>
  <si>
    <t>정렬 팝업 통일(R-02)</t>
  </si>
  <si>
    <t>- '관심종목 10건'은 서버가 알려주는 총 건수(화면에 10건만 보여도 정상)
- 우측 정렬은 전체 탭과 동일한 6종(많이 오른순·거래량 많은순·거래대금 높은순·시가총액 높은순·최근 상장순·가나다순) 중 선택, 기본은 많이 오른순</t>
  </si>
  <si>
    <t>종목 카드 — 썸네일/가게명/종목명/가격·등락</t>
  </si>
  <si>
    <t>- 좌측 원형 썸네일 + 가게명(작게) + 종목명(굵게), 우측에 현재가와 등락률(▲빨강/▼파랑)
- 카드 본문을 탭하면 종목 상세로 이동</t>
  </si>
  <si>
    <t>- 로그인 필요 — 누르면 해당 종목 상세의 주문 탭으로 바로 이동한다
- 비로그인 상태에서 누르면 로그인 화면으로 유도</t>
  </si>
  <si>
    <t>찜(♥) 아이콘 — 채워진 하트</t>
  </si>
  <si>
    <t>- 관심종목 목록이므로 모든 카드의 하트가 채워진 상태(이미 찜한 종목)
- 다시 누르면 관심 해제되어 목록에서 즉시 사라진다(찜 목록 조회 시 즉시 반영)</t>
  </si>
  <si>
    <t>무한 스크롤 로드 (10건 단위)</t>
  </si>
  <si>
    <t>- 끝까지 내리면 10건씩 자동 추가([더보기] 버튼 없음)
- 마지막까지 불러오면 더 요청하지 않는다
- 관심 종목이 없거나 조회 실패 시 '관심 종목이 없어요' + '가장 많이 찜한 종목' 추천 목록으로 대체된다(0건과 실패가 같은 화면이라 구분되지 않음 — U-13)</t>
  </si>
  <si>
    <t>정렬 트리거</t>
  </si>
  <si>
    <t>- 목록 상단 우측 정렬 트리거(정렬명+▾) 탭 → 정렬 팝업(S149와 동일 컴포넌트, R-02)
- 관심종목 화면은 정렬만 제공하므로 별도 필터 아이콘·바텀시트를 두지 않는다</t>
  </si>
  <si>
    <t>필터 버튼 → 정렬 트리거(R-02)</t>
  </si>
  <si>
    <t>- 관심종목 목록 상단 우측의 [필터] 버튼
- href 없음 → 탭하면 필터 바텀시트/드롭다운을 여는 동적 동작으로 추정
- 제공된 상세 문서(내주문 탭 기준)에서는 필터가 섹션별 단일 선택 + 전체 방식이었음 — 관심종목 화면의 필터 항목(정렬/유형 등)은 스크린샷만으로는 옵션 구성을 단정할 수 없어 확인 필요
- 적용 시 목록이 다시 그려질 것으로 추정</t>
  </si>
  <si>
    <t>관심종목 건수 및 정렬 기준</t>
  </si>
  <si>
    <t>- "관심종목 10건" — 현재 로그인 회원이 등록한 관심종목의 총 개수 표시
- 우측 "많이 오른순" 텍스트는 현재 적용된 정렬 기준으로 추정되며, 탭 시 정렬 옵션 선택 UI가 열릴 가능성이 있음(스크린샷만으로 확정 불가)
- 링크/버튼 목록에 별도 href가 감지되지 않아 정렬 변경 가능 여부는 추정</t>
  </si>
  <si>
    <t>관심종목 카드 (행 단위)</t>
  </si>
  <si>
    <t>- 종목 아이콘 + 가게명(예: 화덕담) + 종목명(예: 대구 분점개설 3호) + 현재가 + 전일대비 등락률로 구성된 리스트 카드
- 카드 본문(아이콘·텍스트 영역) 탭 시 href 없음 → 해당 종목 상세 화면(정보 탭)으로 이동하는 동적 동작으로 추정
- 현재가는 가장 마지막에 체결된 가격이며, 등락률은 전일 마지막 체결가 대비 오늘 현재가의 변화폭/등락률(회사 정책상 전일 거래 없으면 최근 거래일 체결가 기준)
- 로그인 필요 — 관심종목 설정/열람은 로그인 회원만 이용 가능(제11조②)</t>
  </si>
  <si>
    <t>표시가는 다자간상대매매 특성상 실시간 체결과 다를 수 있으며, 화면 표시 금액과 실제 주문가능금액에 차이가 발생할 수 있음</t>
  </si>
  <si>
    <t>- 각 관심종목 카드 우측의 [주문] 버튼
- href 없음 → 탭 시 해당 종목의 주문(거래) 화면으로 이동하는 동적 동작으로 추정 (제공 문서상 "같은 가게 종목 [주문] → 그 종목의 주문 탭" 패턴과 동일한 동작으로 추정)
- 주문 화면에서는 지정가 주문만 가능하며 시장가 주문은 제공되지 않음
- 로그인 및 증권사 계좌 연결이 되어 있지 않으면 주문 제출 시 안내 토스트 또는 계좌 연결 안내가 표시될 것으로 추정
- 입력 가격이 호가 단위(가격 구간별 10원~1,000원)에 맞지 않으면 하위 호가로 자동 보정됨</t>
  </si>
  <si>
    <t>체결 금액의 0.1%가 플랫폼 유통 수수료로 부과됨(이벤트 시 한시적 감면 가능). 거래 가능 시간은 평일 08:00~20:00이며 주말·공휴일·대체휴무일 등에는 거래 불가</t>
  </si>
  <si>
    <t>관심종목 해제(찜) 버튼</t>
  </si>
  <si>
    <t>- 각 카드 우측 끝의 하트 아이콘(unfavorite) 버튼
- href 없음 → 탭 시 해당 종목을 관심종목에서 즉시 해제하는 토글 동작으로 추정
- 해제 시 목록에서 즉시 사라지며 상단 "관심종목 N건" 카운트가 갱신될 것으로 추정
- 로그인 필요 — 관심종목 설정은 로그인 회원만 가능(제11조②)</t>
  </si>
  <si>
    <t>관심종목/관심가게 세그먼트</t>
  </si>
  <si>
    <t>- MY &gt; 관심 화면 상단 세그먼트 [관심종목] [관심가게] — 3뎁스 세그먼트 스타일(R-03). 현재 '관심종목' 선택 상태
- 전환 시 관심종목 목록과 관심가게 목록 사이를 전환하며, 선택 상태는 URL 쿼리로 유지된다</t>
  </si>
  <si>
    <t>MY &gt; 관심 세그먼트로 변경(R-03)</t>
  </si>
  <si>
    <t>- "관심" 대탭 하위의 서브 토글 — [관심종목](선택됨) / [관심가게]
- href 없음 → 탭 시 관심종목 목록과 관심가게 목록 사이를 전환하는 동적 동작으로 추정
- 현재 화면은 "관심종목"이 활성화된 상태(진한 배경으로 강조)
- 관심가게로 전환 시 카드 구성(주문 버튼 등)이 달라질 것으로 추정되나 스크린샷 없이 단정 불가</t>
  </si>
  <si>
    <t>거래 화면 상단 탭 (전체 / 보유 / 관심)</t>
  </si>
  <si>
    <t>- 거래 화면 최상단의 3개 대탭: [전체] · [보유] · [관심](현재 선택)
- href 없음 → 탭 시 각 목록(전체 종목, 보유 종목, 관심 종목)으로 화면 전환하는 동적 동작으로 추정
- "보유" 탭은 로그인 및 계좌 연결이 필요한 내주문/보유 내역과 연관된 것으로 추정(비로그인 시 로그인 안내, 계좌 미연결 시 계좌 연결 안내가 뜰 것으로 추정)
- "전체"·"관심"은 로그인 없이도 종목 탐색 자체는 가능하나, 관심종목 등록·주문은 로그인 필요</t>
  </si>
  <si>
    <t>거래 화면 상단 탭(전체/보유/관심) 삭제 — MY &gt; 관심 화면에는 탭이 없음</t>
  </si>
  <si>
    <t>프로필/계정 버튼 ("하")</t>
  </si>
  <si>
    <t>- 상단 우측 원형 아바타 버튼(이니셜 "하" 표시) — 로그인한 회원 계정임을 시사
- href 없음 → 탭 시 계정/프로필 관련 메뉴 또는 MY 화면으로 이동하는 동적 동작으로 추정
- 정확한 이동 대상은 감지된 링크 목록에 없어 단정 불가</t>
  </si>
  <si>
    <t>MY 하위 화면은 뒤로가기 헤더 사용(S087-7과 동일)</t>
  </si>
  <si>
    <t>- 상단 우측 종 모양 알림 아이콘 버튼
- href 없음 → 탭 시 알림 목록/센터 화면을 여는 동적 동작으로 추정
- 서비스 정책상 주문 만료 임박(만료 7일 전·당일), 소득적격 자격 만료 임박(30일 전), 거래정지/재개 등 주요 이벤트가 앱 알림으로 발송되므로 해당 알림들이 이 화면에 모일 것으로 추정</t>
  </si>
  <si>
    <t>화면 타이틀 "관심"</t>
  </si>
  <si>
    <t>- 현재 화면이 MY &gt; 관심 메뉴임을 나타내는 정적 타이틀 텍스트(기존 '거래'). 별도의 클릭/이동 동작 없는 순수 라벨로 추정</t>
  </si>
  <si>
    <t>화면 타이틀 변경</t>
  </si>
  <si>
    <t>- 현재 화면이 "거래" 메뉴임을 나타내는 정적 타이틀 텍스트
- 별도의 클릭/이동 동작 없는 순수 라벨로 추정</t>
  </si>
  <si>
    <t>하단 내비게이션 바</t>
  </si>
  <si>
    <t>- 화면 최하단 고정 탭바: [홈](/home) · [백년가게](/stores) · [거래](/trade) · [MY](/my, 현재 화면) · [더보기](/more)
- 각 아이콘 탭 시 해당 href 경로로 이동
- "MY" 탭이 현재 활성화 상태(진한 색상 아이콘)로 표시됨
- 로그인 여부와 무관하게 탭 이동 자체는 가능하나, 이동 후 화면 내 기능(주문, 관심종목 등)은 로그인이 필요할 수 있음</t>
  </si>
  <si>
    <t>활성 탭 변경</t>
  </si>
  <si>
    <t>- 화면 최하단 고정 탭바: [홈](/home) · [백년가게](/stores) · [거래](/trade, 현재 화면) · [MY](/my) · [더보기](/more)
- 각 아이콘 탭 시 해당 href 경로로 이동
- "거래" 탭이 현재 활성화 상태(진한 색상 아이콘)로 표시됨
- 로그인 여부와 무관하게 탭 이동 자체는 가능하나, 이동 후 화면 내 기능(주문, 관심종목 등)은 로그인이 필요할 수 있음</t>
  </si>
  <si>
    <t>관심종목 / 관심가게 세그먼트</t>
  </si>
  <si>
    <t>- MY &gt; 관심 화면 상단 세그먼트([관심종목] [관심가게]) 중 '관심가게'가 선택된 상태 — 3뎁스 세그먼트 스타일(R-03)
- 로그인 필요 화면: 비로그인 상태로 MY에 진입하면 로그인 유도 미리보기(R-08)가 노출되므로 이 화면은 항상 로그인 상태
- 선택 상태는 URL 쿼리로 유지되어 뒤로가기 시 복원된다</t>
  </si>
  <si>
    <t>MY &gt; 관심 세그먼트 구성으로 재정의(R-03)</t>
  </si>
  <si>
    <t>- 상단 '관심' 탭 안에서 관심종목·관심가게 두 세그먼트로 나뉘며, 이 화면은 '관심가게' 선택 상태
- 로그인 필요 화면이라(거래 &gt; 관심 탭 진입 자체가 로그인 필요), 여기 보이는 시점엔 이미 로그인된 상태다</t>
  </si>
  <si>
    <t>관심가게 N건 + 정렬</t>
  </si>
  <si>
    <t>- '관심가게 2건'은 서버가 알려주는 총 건수(화면 표시 수와 무관)
- 정렬 팝업(R-02)은 '응원 많은순' 기본 선택 — 백년가게 목록과 같은 응원 많은순·최근 상장순·오래된 가게순 3종으로 보이나, 관심가게 전용 정렬 문서는 없어 확인이 필요하다</t>
  </si>
  <si>
    <t>- '관심가게 2건'은 서버가 알려주는 총 건수(화면 표시 수와 무관)
- 정렬 드롭다운은 '응원 많은순' 기본 선택 — 백년가게 목록과 같은 응원 많은순·최근 상장순·오래된 가게순 3종으로 보이나, 관심가게 전용 정렬 문서는 없어 확인이 필요하다</t>
  </si>
  <si>
    <t>가게 카드 — 이미지/이름/카테고리·지역/지속연도</t>
  </si>
  <si>
    <t>- 좌측 아이콘(업종) + 가게명(굵게), 그 아래 카테고리·지역(예: 음식·경북)
- 대표 이미지, 우측 상단에 'N년'(지속연도) 배지
- 카드를 탭하면 가게 상세로 이동할 것으로 추정(백년가게 목록과 동일 패턴)</t>
  </si>
  <si>
    <t>관심(하트) 아이콘</t>
  </si>
  <si>
    <t>- 관심 표시는 앱 전체에서 하트(♥/♡)로 통일한다 — 기존 채워진 사각 북마크 아이콘을 하트로 교체(백년가게 탐색·홈과 동일)
- 탭하면 관심 해제되어 카드가 목록에서 사라지고, 목록·'관심가게 N건'이 다시 조회된다(백년가게 목록과 동일 패턴)</t>
  </si>
  <si>
    <t>- 백년가게 탐색 탭은 하트(♡)로 찜을 표시하는데, 이 화면은 채워진 사각 북마크 아이콘으로 표시된다(디자인 차이)
- 탭하면 관심 해제되어 이 목록에서 사라질 것으로 추정 — 백년가게 목록과 동일 패턴이면 해제 후 목록 전체가 다시 조회된다</t>
  </si>
  <si>
    <t>홈 · 백년가게 · 거래 · MY · 더보기 중 'MY'가 활성화된 상태로 유지된다(이 화면은 MY 하위).</t>
  </si>
  <si>
    <t>MY 탭 활성 상태로 변경</t>
  </si>
  <si>
    <t>홈 · 백년가게 · 거래 · MY · 더보기 중 '거래'가 활성화된 상태로 유지된다</t>
  </si>
  <si>
    <t>헤더 — 상단 3탭 삭제</t>
  </si>
  <si>
    <t>- 기존 3탭(활동 내역 / 내 정보 / 내 투자성향)을 삭제한다. 활동 내역은 MY 허브의 커뮤니티·문의내역 카드에서 진입하며 헤더는 ← 뒤로가기 + '활동 내역' 타이틀
- 내 정보는 허브의 [내 정보] 행(재인증 게이트, R-09), 투자성향은 프로필 카드 칩(R-10)으로 대체
- 우측 상단 ⚙ 설정, 🔔 알림(안읽음 배지 있으면 표시)은 유지</t>
  </si>
  <si>
    <t>상단 3탭 삭제 → 허브 진입(R-08)</t>
  </si>
  <si>
    <t>- MY 메인 하위 3탭 중 '활동 내역' 선택 상태(밑줄)
- '내 정보' 탭 이동 시 별도 재인증 게이트가 뜬다(마지막 로그인 방식에 따라 비밀번호/간편인증/생체, 유효 5분, 탭 이동만으로 즉시 초기화)
- 우측 상단 ⚙ 설정, 🔔 알림(안읽음 배지 있으면 표시)</t>
  </si>
  <si>
    <t>커뮤니티 / 문의내역 세그먼트</t>
  </si>
  <si>
    <t>- 이 화면은 MY 메인의 '활동 내역' 카드를 눌러야 정상 진입(?tab=community 쿼리 포함)
- 쿼리 없이 /my/activity 로 직접 진입하면 탭 어디에도 없는 '방문내역' 빈 화면이 뜨는 알려진 제약이 있다
- 커뮤니티: 내가 쓴 글(게시글·댓글) / 문의내역: 1:1 문의 내역</t>
  </si>
  <si>
    <t>게시글·댓글 구분 + 정렬 필터</t>
  </si>
  <si>
    <t>- 총 N건은 서버 집계 총건수
- 좌측 세그먼트([게시글] [댓글], R-03)로 전환(게시글+댓글 통합 보기는 없음)
- 우측 [필터]는 정렬 전용 — 게시글: 최신순·좋아요 많은순·댓글 많은순 / 댓글: 최신순·좋아요 많은순(댓글 많은순 없음), 기본 최신순
- 정렬을 바꾸면 목록이 처음부터 다시 로드된다</t>
  </si>
  <si>
    <t>- 총 N건은 서버 집계 총건수
- 좌측 드롭다운으로 게시글/댓글 전환(게시글+댓글 통합 보기는 없음)
- 우측 [필터]는 정렬 전용 — 게시글: 최신순·좋아요 많은순·댓글 많은순 / 댓글: 최신순·좋아요 많은순(댓글 많은순 없음), 기본 최신순
- 정렬을 바꾸면 목록이 처음부터 다시 로드된다</t>
  </si>
  <si>
    <t>빈 상태 — 작성한 게시글이 없어요.</t>
  </si>
  <si>
    <t>- 게시글 탭에 작성 이력이 없을 때 아이콘 + 안내 문구
- 댓글 탭의 빈 상태 문구는 '작성한 댓글이 없어요.'
- 목록은 20건 단위 로드 + [더보기] 버튼 방식(무한 스크롤 아님)</t>
  </si>
  <si>
    <t>뒤로가기 헤더 — MY 상위 헤더 없이 진입</t>
  </si>
  <si>
    <t>- 이 화면은 MY 상단 헤더(MY 타이틀 + 설정/알림) 없이 back arrow만 있는 상태로 캡처되어 있다
- MY 메인 카드를 거치지 않고 '/my/activity' 로 바로 진입한 경우에 가깝다</t>
  </si>
  <si>
    <t>커뮤니티 / 문의내역 탭 — 커뮤니티 선택</t>
  </si>
  <si>
    <t>게시글 / 댓글 토글 — 게시글 선택, 총 0건</t>
  </si>
  <si>
    <t>- '게시글'이 진하게 강조된 선택 상태
- 정렬 필터는 게시글 기준 3종(최신순·좋아요 많은순·댓글 많은순), 기본값 최신순</t>
  </si>
  <si>
    <t>- 커뮤니티에 작성한 게시글이 없을 때의 안내. 댓글 탭으로 전환하면 문구가 '작성한 댓글이 없어요.'로 바뀐다</t>
  </si>
  <si>
    <t>게시글 탭 — 총 건수·정렬</t>
  </si>
  <si>
    <t>- '게시글' 선택 상태, 총 3건(서버 집계)
- 정렬 기본값 최신순 — 좋아요 많은순·댓글 많은순으로 전환 가능</t>
  </si>
  <si>
    <t>내가 쓴 게시글 카드</t>
  </si>
  <si>
    <t>- 작성자 닉네임·작성일시, 우측 종목 칩(가게 아이콘 + 종목명)
- 본문은 미리보기(빈 줄 압축) + [더보기]로 펼침
- 하단 👍 좋아요 수·💬 댓글 수 아이콘
- 정상 게시글 카드는 탭하면 그 종목 커뮤니티 화면의 원글로 이동 — 관리자가 삭제 처리한 글은 안내 문구로 대체되어 이동·좋아요가 막힌다</t>
  </si>
  <si>
    <t>게시글 카드 반복 목록</t>
  </si>
  <si>
    <t>- 카드가 최신순으로 세로 나열, 좋아요·댓글이 0건이어도 카드 자체는 그대로 노출
- 20건 단위 로드 — 3건뿐이라 이 화면에서는 [더보기]가 보이지 않는다</t>
  </si>
  <si>
    <t>정렬 팝업 — 최신순 / 좋아요 많은순 / 댓글 많은순</t>
  </si>
  <si>
    <t>- 게시글 탭 전용 정렬 옵션 3종, 기본값 '최신순'에 체크 표시
- 댓글 탭에서는 이 중 '댓글 많은순'이 빠지고 2종만 제공된다
- 옵션을 선택하면 정렬 팝업이 닫히고 목록이 처음부터 다시 로드된다(펼쳐둔 카드는 접힘)</t>
  </si>
  <si>
    <t>- 게시글 탭 전용 정렬 옵션 3종, 기본값 '최신순'에 체크 표시
- 댓글 탭에서는 이 중 '댓글 많은순'이 빠지고 2종만 제공된다
- 옵션을 선택하면 드롭다운이 닫히고 목록이 처음부터 다시 로드된다(펼쳐둔 카드는 접힘)</t>
  </si>
  <si>
    <t>게시글 / 댓글 토글 — 게시글 선택 상태로 캡처됨</t>
  </si>
  <si>
    <t>- worklist상 화면명은 '댓글'이지만 실제 캡처 내용은 '게시글' 탭이 선택된 동일한 빈 상태다 — 댓글 탭 진입 상태의 캡처가 아직 없는 것으로 보임(재캡처 필요 소지)
- 댓글 탭으로 전환하면 정렬 옵션이 최신순·좋아요 많은순 2종으로 줄어든다(댓글 많은순 없음)</t>
  </si>
  <si>
    <t>빈 상태</t>
  </si>
  <si>
    <t>- '작성한 게시글이 없어요.' 문구가 그대로 노출된다</t>
  </si>
  <si>
    <t>댓글 탭 — 총 건수·정렬</t>
  </si>
  <si>
    <t>- 좌측 세그먼트를 '댓글'로 전환한 상태, 총 3건
- 댓글 탭 정렬은 최신순·좋아요 많은순 2종뿐(게시글 탭의 '댓글 많은순'은 댓글 탭에 없음)</t>
  </si>
  <si>
    <t>게시글/댓글 전환 세그먼트 표기(R-03)</t>
  </si>
  <si>
    <t>- 좌측 드롭다운을 '댓글'로 전환한 상태, 총 3건
- 댓글 탭 정렬은 최신순·좋아요 많은순 2종뿐(게시글 탭의 '댓글 많은순'은 댓글 탭에 없음)</t>
  </si>
  <si>
    <t>내가 쓴 댓글 카드</t>
  </si>
  <si>
    <t>- 게시글 카드와 달리 댓글 카드는 👍 좋아요 수만 표시되고 댓글 수 아이콘은 없다
- 상단 종목 칩은 이 댓글이 달린 게시글이 속한 종목명
- 댓글 행은 탭해도 원글로 이동하지 않는다(게시글만 이동 대상)</t>
  </si>
  <si>
    <t>- worklist상 화면명은 '문의내역'이지만 실제 캡처 내용은 '커뮤니티' 탭이 선택된 화면이다 — 문의내역 탭 상태의 캡처가 누락된 것으로 보임(재캡처 필요 소지)</t>
  </si>
  <si>
    <t>문의내역 탭 — 총 건수·필터</t>
  </si>
  <si>
    <t>- 좌측 드롭다운을 '문의내역'으로 전환한 상태, 총 0건
- 우측 필터는 전체/답변대기/답변완료 단일 선택</t>
  </si>
  <si>
    <t>빈 상태 — 문의내역이 없어요.</t>
  </si>
  <si>
    <t>- 문의 이력이 없을 때 아이콘 + '문의내역이 없어요.' + '궁금한 점이 있다면 1:1 문의를 남겨주세요.' 안내
- 안내 문구를 눌러도 바로 문의 작성으로 이동하지는 않는다(고객센터 경유)</t>
  </si>
  <si>
    <t>답변대기 필터 선적용</t>
  </si>
  <si>
    <t>- MY 메인 활동 카드의 '답변대기중 N건' 행을 눌러 들어오면 이 화면이 '답변대기' 필터가 적용된 채 열린다(기본값은 전체)
- 필터는 전체/답변대기/답변완료 단일 선택 필터 팝업(R-02)</t>
  </si>
  <si>
    <t>- MY 메인 활동 카드의 '답변대기중 N건' 행을 눌러 들어오면 이 화면이 '답변대기' 필터가 적용된 채 열린다(기본값은 전체)
- 필터는 전체/답변대기/답변완료 단일 선택 드롭다운</t>
  </si>
  <si>
    <t>문의 아코디언 — 첫 건 자동 펼침</t>
  </si>
  <si>
    <t>- 필터 적용 직후 맨 위 1건이 자동으로 펼쳐진다(펼침·닫힘 애니메이션), 한 번에 1건만 펼쳐진다
- '미답변' 배지가 붙은 건에만 [수정]·[삭제] 칩이 노출된다
- [수정]은 1:1 문의 작성 화면을 재사용해서 연다</t>
  </si>
  <si>
    <t>[수정] · [삭제] 칩</t>
  </si>
  <si>
    <t>- [삭제] 시 확인 팝업 '문의를 삭제할까요? — 삭제한 문의는 다시 볼 수 없어요.' [삭제하기]
- 답변이 이미 등록된 문의는 이 칩이 없다 — 답변완료 건 삭제 시도는 '답변이 등록된 문의는 삭제할 수 없어요.' 로 차단된다</t>
  </si>
  <si>
    <t>미답변 나머지 목록 — 접힘 상태</t>
  </si>
  <si>
    <t>- '서귀포 노을다반 외 추가 지역', '주문문의' 등 나머지 건은 접힌 채로 나열
- 다른 건을 탭하면 그 건이 펼쳐지고 이전에 펼쳐진 건은 자동으로 접힌다</t>
  </si>
  <si>
    <t>필터 팝업 — 전체 / 답변대기 / 답변완료</t>
  </si>
  <si>
    <t>- 문의내역 탭 전용 단일 선택 필터, 기본값 '전체'에 체크 표시
- 필터를 바꾸면 목록이 그 조건으로 처음부터 다시 로드되고 맨 위 건이 자동으로 펼쳐진다</t>
  </si>
  <si>
    <t>답변완료 문의 — 답변 카드</t>
  </si>
  <si>
    <t>- '주문문의'를 펼치면 문의 본문 아래에 답변 카드(말풍선 아이콘 + 답변 텍스트, 줄바꿈 보존)가 표시된다
- 답변완료 건에는 [수정]·[삭제] 칩이 없다 — 삭제는 미답변 상태에서만 가능</t>
  </si>
  <si>
    <t>닫기(X) 버튼</t>
  </si>
  <si>
    <t>- 누르면 재인증을 취소하고 MY 허브로 복귀한다 — 내 정보 진입 자체가 취소된다</t>
  </si>
  <si>
    <t>- 누르면 재인증을 취소하고 '나의 활동내역' 탭으로 복귀한다 — 내 정보수정 탭 진입 자체가 취소된다</t>
  </si>
  <si>
    <t>재인증 안내 문구 — 내 정보 진입 게이트</t>
  </si>
  <si>
    <t>- MY 허브의 [내 정보] 행 진입 시 뜨는 전체화면 재인증 게이트(R-09). 화면명을 '기본정보' → '재인증'으로 정정
- 마지막 로그인 방식이 '비밀번호'인 계정의 변형 — 간편인증·생체로 마지막 로그인한 계정은 각각 PIN 입력·생체 인증 화면으로 대체된다</t>
  </si>
  <si>
    <t>화면명 정정 · 진입점 변경</t>
  </si>
  <si>
    <t>- worklist상 화면명은 '기본정보'이지만 실제 캡처는 '내 정보수정' 탭 진입 시 뜨는 전체화면 재인증 게이트다
- 이 화면은 마지막 로그인 방식이 '비밀번호'인 계정의 변형 — 간편인증·생체로 마지막 로그인한 계정은 각각 PIN 입력·생체 인증 화면으로 대체된다</t>
  </si>
  <si>
    <t>비밀번호 입력란 + 표시/숨김 토글</t>
  </si>
  <si>
    <t>- 우측 눈 아이콘으로 입력값 표시/숨김 전환
- 통과 후 유효시간은 5분 — 그 안에는 내 정보 하위 화면(이메일·주소·직업 등 수정)을 다녀와도 다시 묻지 않고, MY 허브 등 다른 화면을 다녀와도 시간 내에는 유지된다. 앱이 백그라운드로 가거나 5분이 지나면 초기화된다(기존 '탭 이동 즉시 초기화' 규칙 삭제, R-09)</t>
  </si>
  <si>
    <t>재인증 유효 규칙 변경(R-09)</t>
  </si>
  <si>
    <t>- 우측 눈 아이콘으로 입력값 표시/숨김 전환
- 통과 후 유효시간은 5분 — 그 안에는 계좌 연결 등 하위 화면을 다녀와도 다시 묻지 않지만, '나의 활동내역' 탭으로 갔다 돌아오면 시간과 무관하게 즉시 재인증이 초기화된다</t>
  </si>
  <si>
    <t>- 통과하면 내 정보수정 탭 내용(이름·휴대폰·비밀번호·이메일·자택주소 등)이 보인다
- 비밀번호가 틀리면 입력란 아래 인라인 오류 문구로 실패 사유가 표시된다</t>
  </si>
  <si>
    <t>내 정보 수정 — 재인증 게이트 통과 후 화면</t>
  </si>
  <si>
    <t>- MY 허브의 [내 정보] 진입 시 전체화면 재인증(마지막 로그인 방식에 따라 비밀번호/간편인증/생체)이 먼저 뜨고, 통과해야 아래 정보 화면이 보인다(R-09)
- 유효시간 5분. MY 허브 요약(등급·투자성향 칩·자격 상태)은 게이트 밖에서 보이고 개인정보 원문 열람·수정만 게이트 안에 둔다. 기존 '탭 이동 즉시 초기화' 규칙은 삭제하고, 앱이 백그라운드로 가면 초기화한다
- 인증 화면의 [닫기]는 MY 허브로 복귀하며 통과 상태도 함께 초기화된다
- 계좌 관리 메뉴는 삭제(내 자산 계좌 셀렉터로 통합) — '계좌 연결 등 하위 화면 왕복은 재인증 생략' 문구 삭제</t>
  </si>
  <si>
    <t>재인증 규칙 재정의(R-09)</t>
  </si>
  <si>
    <t>- 이 탭 진입 시 전체화면 재인증(마지막 로그인 방식에 따라 비밀번호/간편인증/생체)이 먼저 뜨고, 통과해야 아래 정보 화면이 보인다
- 유효시간 5분(계좌 연결 등 하위 화면 왕복은 재인증 생략), 단 '활동 내역' 탭으로 되돌아가면 시간과 무관하게 즉시 초기화된다(다시 왕복하면 재인증)
- 인증 화면의 [닫기]는 활동 탭으로 복귀하며 통과 상태도 함께 초기화된다</t>
  </si>
  <si>
    <t>프로필 사진 + 닉네임 인라인 수정</t>
  </si>
  <si>
    <t>- 사진 아이콘으로 프로필 사진 변경, 닉네임을 바로 눌러 인라인 수정(2~10자)
- 2자 미만으로 저장을 시도하면 저장되지 않고 원래 값으로 원복된다</t>
  </si>
  <si>
    <t>이름 · 휴대폰 번호 · 아이디</t>
  </si>
  <si>
    <t>- 이름·아이디는 평문 표시, 수정 불가
- 휴대폰 번호는 본인인증(MOK) 후에만 갱신 가능(우측 &gt; 진입)
- 재인증 게이트 통과 후의 화면이라 마스킹 없이 평문으로 노출된다 — 스크린샷 유출에 주의가 필요한 지점</t>
  </si>
  <si>
    <t>비밀번호 — 재설정</t>
  </si>
  <si>
    <t>- [재설정]을 누르면 본인인증(MOK) 후 비밀번호 변경 화면으로 이동
- 인증한 사람의 명의가 현재 로그인 계정과 다르면 '로그인된 계정과 본인인증 정보가 일치하지 않아요.' 로 차단
- 새 비밀번호는 암호화 + 기기 서명으로 전송되며 등록된 기기 키가 필수
- 규칙: 8자 이상, 영문 대소문자·숫자·특수문자(!@#$%^&amp;()) 포함, 공백 불가</t>
  </si>
  <si>
    <t>이메일 · 자택주소</t>
  </si>
  <si>
    <t>- 이메일 변경은 6자리 인증번호(5분, [시간연장] 재발송) 검증 필요 — 중복 이메일이면 '이미 사용 중인 이메일이에요.…'
- 자택주소는 다음(카카오) 주소검색 + 상세주소(최대 100자) 입력, 값이 없으면 '-'</t>
  </si>
  <si>
    <t>직업 · 거래목적 · 자금출처 · 투자자 자격 신청</t>
  </si>
  <si>
    <t>- 직업·거래목적·자금출처는 바텀시트에서 코드 값을 선택, 성공 시 '변경되었어요.' 토스트
- 투자자 자격 신청 행에 심사 상태(미신청/심사 중/승인+만료일/반려/만료)를 표시하고 탭하면 투자자 자격 신청 화면(S124)으로 이동한다(R-11, 예: 소득적격 (~2027.09.01))</t>
  </si>
  <si>
    <t>소득적격 자격은 1년마다 갱신해야 하며, 회사는 만료 30일 전 앱 알림으로 갱신을 안내한다. 만료일까지 갱신 서류를 제출해 승인받지 못하면 일반회원으로 자동 전환되어 거래 한도가 줄어든다(이용약관 제9조).</t>
  </si>
  <si>
    <t>투자자 자격 상태 표시(R-11)</t>
  </si>
  <si>
    <t>- 직업·거래목적·자금출처는 바텀시트에서 코드 값을 선택, 성공 시 '변경되었어요.' 토스트
- 소득적격 신청 행은 승인된 계정에 한해 만료일이 함께 표시된다(예: 소득적격 (~2027.09.01))</t>
  </si>
  <si>
    <t>이메일 변경 — 안내 문구</t>
  </si>
  <si>
    <t>- MY 정보수정 탭의 '주요안내 수신 이메일' 행에서 진입하는 변경 화면
- 좌측 상단 X는 닫기 — 변경을 취소하고 정보수정 탭으로 복귀</t>
  </si>
  <si>
    <t>이메일 입력 + 인증요청</t>
  </si>
  <si>
    <t>- 현재 이메일이 기본값으로 채워져 보인다(예: jy@krste.co.kr)
- [인증요청]을 누르면 입력한 주소로 6자리 인증번호가 발송되고 인증번호 입력란이 나타난다(다음 화면)</t>
  </si>
  <si>
    <t>저장 버튼 — 비활성</t>
  </si>
  <si>
    <t>- 인증 전에는 비활성(회색) 상태
- 인증번호 확인이 끝나야 활성화되어 저장할 수 있다</t>
  </si>
  <si>
    <t>이메일 재요청 + 인증번호 타이머</t>
  </si>
  <si>
    <t>- 이메일을 바꿔 입력한 뒤 [인증재요청]으로 재발송 가능
- 인증번호는 6자리, 유효시간 5분 — 남은 시간이 빨간 숫자로 카운트다운(04:55)
- [시간연장]으로 타이머를 다시 5분 연장할 수 있다</t>
  </si>
  <si>
    <t>인증번호 입력란</t>
  </si>
  <si>
    <t>- 6자리 입력 시 자동 검증되며, 통과하면 하단 [저장]이 활성화된다
- 이미 사용 중인 이메일로 인증을 요청하면 '이미 사용 중인 이메일이에요.…' 안내로 막힌다</t>
  </si>
  <si>
    <t>자택주소 — 기본주소 + 상세주소</t>
  </si>
  <si>
    <t>- [주소검색] 버튼으로 다음(카카오) 주소 검색 팝업을 열어 기본주소를 채운다(다음 화면)
- 기본주소 아래 상세주소는 직접 입력, 최대 100자
- 두 값이 모두 채워지면 [저장]이 활성(진한 남색)으로 바뀐다</t>
  </si>
  <si>
    <t>저장 버튼</t>
  </si>
  <si>
    <t>- 저장 성공 시 MY 정보수정 탭의 자택주소 행이 2줄로 갱신된다(값이 없으면 '-' 로 표시)</t>
  </si>
  <si>
    <t>주소검색 팝업 — 카카오 주소 API</t>
  </si>
  <si>
    <t>- 검색창에 도로명+건물번호 / 지역명(동·리)+번지 / 지역명+건물명(아파트명) / 사서함명+번호 등으로 검색 가능(팁 예시 제공)
- 검색 결과를 선택하면 이전 화면의 기본주소란이 채워지고 이 팝업은 닫힌다
- 우측 상단 X로 검색을 취소하고 이전 화면으로 복귀</t>
  </si>
  <si>
    <t>배경 — 내 정보수정 탭 상단</t>
  </si>
  <si>
    <t>- [일반]/[소득적격] 등급 뱃지 + 닉네임, 우측 상단 투자성향 유형명 칩('나의 투자성향 &gt;')
- 아래 휴대폰번호·비밀번호·아이디 등 필드 행은 바텀시트에 가려 흐림(dim) 처리된 배경일 뿐, 이 화면의 조작 대상이 아니다</t>
  </si>
  <si>
    <t>거래목적을 선택하세요 — 바텀시트</t>
  </si>
  <si>
    <t>- 단일 선택(라디오형 체크박스), 현재 '저축 및 투자'가 선택된 상태
- 옵션 5종: 저축 및 투자 · 급여 및 생활비 관리 · 사업상 거래 · 대출금 상환/관리 · 기타</t>
  </si>
  <si>
    <t>취소 / 확인 버튼</t>
  </si>
  <si>
    <t>- [확인]을 눌러야 반영되며 MY 정보수정 탭의 '거래목적' 행 값이 갱신되고 '변경되었어요.' 토스트가 뜬다
- [취소]는 변경 없이 시트를 닫는다</t>
  </si>
  <si>
    <t>- [일반]/[소득적격] 등급 뱃지 + 닉네임, 우측 상단 투자성향 유형명 칩
- 휴대폰번호·비밀번호 행이 바텀시트 뒤로 흐림 처리된 배경</t>
  </si>
  <si>
    <t>자금출처를 선택하세요 — 바텀시트</t>
  </si>
  <si>
    <t>- 단일 선택, 현재 '근로소득(급여)'가 선택된 상태
- 옵션 8종: 근로소득(급여) · 사업소득 · 금융소득(이자/배당) · 부동산 임대/매매 소득 · 상속/증여 · 대출금 · 퇴직소득 · 기타</t>
  </si>
  <si>
    <t>- [확인] 시 MY 정보수정 탭의 '자금출처' 행 값이 갱신되고 '변경되었어요.' 토스트가 뜬다
- [취소]는 변경 없이 시트를 닫는다</t>
  </si>
  <si>
    <t>직업군을 선택하세요 — 바텀시트</t>
  </si>
  <si>
    <t>- 단일 선택, 현재 '직장인(회사원)'이 선택된 상태
- 옵션 8종: 직장인(회사원) · 개인사업자(자영업) · 전문직(의사,변호사 등) · 공무원/공기업 · 학생 · 전업주부 · 무직 · 기타</t>
  </si>
  <si>
    <t>- [확인] 시 MY 정보수정 탭의 '직업' 행 값이 갱신되고 '변경되었어요.' 토스트가 뜬다
- [취소]는 변경 없이 시트를 닫는다</t>
  </si>
  <si>
    <t>Q1. 투자 목적 — 문항 헤더</t>
  </si>
  <si>
    <t>- 상단 진행률 '01/06' + 주황색 진행 바(6문항 중 1/6 채움)
- 질문: '투자를 하는 가장 큰 이유는 무엇인가요?'
- 좌측 상단 ← 는 1번 문항이라 [이전] 버튼 없이 바로 설문 진입 전 화면(MY 등)으로 나간다</t>
  </si>
  <si>
    <t>거래를 시작하려면 투자자 성향 분석을 완료해야 하며, 완료하지 않으면 거래 기능을 이용할 수 없다. 분석은 2년에 한 번씩 다시 실시해야 하고, 기간 내 재실시하지 않으면 거래 서비스 이용이 일시 제한될 수 있다(이용약관 제8조).</t>
  </si>
  <si>
    <t>선택지 카드 4개 — 단일 선택, 자동 다음 문항</t>
  </si>
  <si>
    <t>- 원금 유지가 가장 중요해요 / 은행보다 조금 더 벌고 싶어요 / 어느 정도 위험은 감수할 수 있어요 / 손실이 있어도 높은 수익이 목표예요
- 카드를 탭하면 별도 '다음' 버튼 없이 즉시 Q2로 자동 전환된다
- 서버가 6문항 응답을 종합 판정해 5단계 투자성향 결과를 산출한다</t>
  </si>
  <si>
    <t>Q2. 투자 경험 — 문항 헤더</t>
  </si>
  <si>
    <t>- 진행률 '02/06', 질문: '지금까지 투자 경험은 어느 정도인가요?'
- 아직 아무 선택지도 고르지 않은 초기 상태(강조 테두리 없음)</t>
  </si>
  <si>
    <t>선택지 카드 4개</t>
  </si>
  <si>
    <t>- 처음이에요 / 예금·적금 경험 있어요 / 주식 투자 경험이 있어요 / 코인·파생상품 등 경험 있어요
- 탭 즉시 Q3로 자동 전환된다</t>
  </si>
  <si>
    <t>하단 [이전] 버튼</t>
  </si>
  <si>
    <t>- Q2부터는 하단에 [이전] 버튼이 생겨 바로 앞 문항으로 되돌아갈 수 있다(기기 뒤로가기와 별개 동작)</t>
  </si>
  <si>
    <t>Q3. 투자 기간 — 문항 헤더</t>
  </si>
  <si>
    <t>- 진행률 '03/06', 질문: '투자금은 얼마나 유지할 수 있나요?'</t>
  </si>
  <si>
    <t>선택지 카드 4개 — 선택 강조 상태</t>
  </si>
  <si>
    <t>- 6개월 이내(선택되어 남색 굵은 테두리로 강조) / 6개월~1년 / 1~3년 / 3년 이상
- 이 화면은 한 선택지를 고른 직후이거나 [이전]으로 되돌아온 상태 — 이전에 고른 카드만 테두리가 강조되어 남는다</t>
  </si>
  <si>
    <t>Q4. 손실 감내 수준 — 문항 헤더</t>
  </si>
  <si>
    <t>- 진행률 '04/06', 질문: '투자금이 줄어들면 어떻게 하실 것 같나요?'</t>
  </si>
  <si>
    <t>- 바로 중단하고 회수할 것 같아요(선택 강조) / 일부만 정리할 것 같아요 / 유지하면서 기다릴 것 같아요 / 추가 투자도 고려할 것 같아요</t>
  </si>
  <si>
    <t>Q5. 투자 비중 — 문항 헤더</t>
  </si>
  <si>
    <t>- 진행률 '05/06', 질문: '자산의 몇 % 정도를 주식, 파생상품, 코인 등에 투자하고 있나요?'</t>
  </si>
  <si>
    <t>- 10% 이하(선택 강조) / 10~30% / 30~50% / 50% 이상</t>
  </si>
  <si>
    <t>Q6. 투자 이해도 — 문항 헤더</t>
  </si>
  <si>
    <t>- 진행률 '06/06'(마지막 문항), 질문: '투자 상품을 얼마나 이해하고 있나요?'</t>
  </si>
  <si>
    <t>- 거의 몰라요(선택 강조) / 기본 개념은 알아요 / 구조를 이해하고 있어요 / 위험까지 충분히 이해하고 있어요</t>
  </si>
  <si>
    <t>하단 [이전] / [결과보기] 버튼</t>
  </si>
  <si>
    <t>- 마지막 문항이라 [이전] 외에 강조색 [결과보기] 버튼이 함께 나타난다
- [결과보기]를 누르면 서버가 6문항 응답을 채점해 결과 화면으로 이동한다</t>
  </si>
  <si>
    <t>투자성향 판정 결과 — 유형명</t>
  </si>
  <si>
    <t>- 상단 체크 배지 + 위험 성향군('위험중립형') + 세부 유형명('꼼꼼한 계산기형', 공통코드 109)
- 그 아래 한 줄 캐치프레이즈 문구가 유형별로 다르게 노출된다(예: '돌다리도 두들겨 보고 건너는 신중파! 적당한 수익이 좋아요.')</t>
  </si>
  <si>
    <t>인정기간 배지</t>
  </si>
  <si>
    <t>- 판정일로부터 2년 뒤까지의 유효기간을 노란 테두리 배지로 표시(예: 2026.09.02 ~ 2028.09.02)
- 만료일 당일까지는 유효로 인정되어, MY 메인에서 팝업 없이 바로 이 결과 화면으로 진입할 수 있다
- 만료 임박(D-30 이내)이면 배지에 D-day를 함께 표시하고 [다시 분석하기]를 강조한다(R-10)</t>
  </si>
  <si>
    <t>투자자 성향 분석 결과는 2년에 한 번씩 다시 실시해야 하며, 기간 내에 재실시하지 않으면 거래 서비스 이용이 일시 제한될 수 있다(이용약관 제8조).</t>
  </si>
  <si>
    <t>만료 임박 표시(R-10)</t>
  </si>
  <si>
    <t>- 판정일로부터 2년 뒤까지의 유효기간을 노란 테두리 배지로 표시(예: 2026.09.02 ~ 2028.09.02)
- 만료일 당일까지는 유효로 인정되어, MY 메인에서 팝업 없이 바로 이 결과 화면으로 진입할 수 있다</t>
  </si>
  <si>
    <t>문항별 응답 요약 (Q1~Q6)</t>
  </si>
  <si>
    <t>- 방금 답한 6문항의 선택 문구를 그대로 나열해 다시 보여준다(읽기 전용 요약, 항목을 눌러도 해당 문항으로 이동하지 않는다)</t>
  </si>
  <si>
    <t>다시 분석하기 / 확인 버튼</t>
  </si>
  <si>
    <t>- [다시 분석하기]는 Q1부터 설문을 새로 시작한다
- [확인]은 결과를 확정하고 이전 화면(MY 등)으로 돌아가며, 이 시점부터 MY 프로필 카드의 투자성향 뱃지가 이 유형명으로 갱신된다</t>
  </si>
  <si>
    <t>재실시 정책 · 이력</t>
  </si>
  <si>
    <t>- [다시 분석하기] 진행 중 이탈하면 기존 결과·인정기간이 그대로 유지된다. 6문항을 모두 마치고 결과가 산출되는 시점에 기존 결과를 교체한다(확인 필요)
- 과거 결과 이력 목록은 이번 범위에서 제외한다(다음 단계 검토). 이 화면은 최신 결과·인정기간·응답 요약만 제공</t>
  </si>
  <si>
    <t>투자자 성향 분석은 2년마다 재실시, 미실시 시 거래 서비스 이용이 일시 제한될 수 있음(약관 제8조)</t>
  </si>
  <si>
    <t>칩 상태 연계 · 재실시 정책 명시(R-10)</t>
  </si>
  <si>
    <t>인트로 문구</t>
  </si>
  <si>
    <t>- '더 큰 투자의 기회' 카피 + 소득/자산요건 인증 시 연간 최대 8,000만원까지 투자한도 확대 가능 안내
- 투자자 자격 신청 화면 진입 시 최초 노출되는 소개 문구</t>
  </si>
  <si>
    <t>화면명 표기 통일</t>
  </si>
  <si>
    <t>- '더 큰 투자의 기회' 카피 + 소득/자산요건 인증 시 연간 최대 8,000만원까지 투자한도 확대 가능 안내
- 소득적격투자자 신청 화면 진입 시 최초 노출되는 소개 문구</t>
  </si>
  <si>
    <t>한도 비교표(일반 vs 소득적격)</t>
  </si>
  <si>
    <t>- 보유한도: 일반 1,000만원 → 소득적격 3,000만원
- 올해 거래한도: 일반 4,000만원 → 소득적격 8,000만원
- 서비스이용약관의 회원 등급별 한도 기준표와 동일한 수치</t>
  </si>
  <si>
    <t>제10조(투자 및 거래 한도 제한) ③ 회원 등급별 세부 한도 — 보유 한도(일반 1,000만원/소득적격 3,000만원), 연간거래 한도(일반 4,000만원/소득적격 8,000만원)</t>
  </si>
  <si>
    <t>진행절차 4단계</t>
  </si>
  <si>
    <t>- 서류준비 &gt; 서류제출 &gt; 심사진행 &gt; 한도변경 순서를 스텝 칩으로 안내
- 실제 진행 상태 표시는 화면에 없고 절차 안내 목적의 정적 스텝이다</t>
  </si>
  <si>
    <t>자격요건 ① 근로/사업소득</t>
  </si>
  <si>
    <t>- 조건: 직전 과세기간 본인의 근로·사업 소득이 1억원 초과
- 필요서류: 근로소득 원천징수영수증 또는 소득금액증명원(국세청 홈택스)</t>
  </si>
  <si>
    <t>제9조(회원 등급별 자격 심사 및 갱신) ① 소득적격회원이 되려면 소득 증빙서류를 제출하고 회사의 심사를 통과해야 한다.</t>
  </si>
  <si>
    <t>자격요건 ② 금융소득</t>
  </si>
  <si>
    <t>- 조건: 직전 과세기간 본인의 이자·배당 소득 합계가 2,000만원 초과
- 필요서류: 금융소득자용 소득금액증명(국세청) 또는 금융소득 종합과세 대상자 확인서(세무서/증권사)
- 두 조건 중 해당하는 것만 제출하면 된다(둘 다 제출할 필요 없음)</t>
  </si>
  <si>
    <t>제9조(회원 등급별 자격 심사 및 갱신) ① 소득 증빙서류를 제출하고 회사의 심사를 통과해야 한다.</t>
  </si>
  <si>
    <t>진입점 (MY 정본 + 더보기 배너)</t>
  </si>
  <si>
    <t>- 정본 화면은 이 화면 1개(MY &gt; 내 정보 &gt; 투자자 자격 신청). 진입점: ① MY 허브 [투자자 자격 신청] 행 ② 더보기 상단 조건부 배너(일반회원·신청 가능 상태일 때만) ③ 거래 한도 [한도 늘리기] ④ 한도 초과 주문 거부 안내 링크
- 로그인 필요 — 비로그인 상태에서는 배너·링크 자체가 노출되지 않는다</t>
  </si>
  <si>
    <t>진입점 정리(R-11)</t>
  </si>
  <si>
    <t>심사 상태 카드</t>
  </si>
  <si>
    <t>- 화면 상단(인트로 위)에 상태 카드를 표시한다.
  · 미신청: 상태 카드 없음, 하단 [신청하기]
  · 심사 중: '심사 중이에요' + 신청일, [신청하기] 비활성(재신청 차단)
  · 승인: '소득적격 투자자 승인' + 인정 만료일, 만료 30일 전부터 [갱신 신청]
  · 반려: '심사가 반려되었어요' + 반려 사유 문구(노출 수준은 컴플라이언스 확인), [다시 신청하기]
  · 만료: '일반회원으로 전환됐어요' + [다시 신청하기]
- 동일한 상태 값을 MY 허브 자격 상태 한 줄·내 정보 수정 화면 행에서 사용한다</t>
  </si>
  <si>
    <t>승인 시 한도 자동 상향·알림, 소득적격 자격 1년 갱신, 만료 30일 전 알림, 미갱신 시 일반회원 자동 전환(약관 제9조 ①~③)</t>
  </si>
  <si>
    <t>신청 결과 표시 신규(R-11)</t>
  </si>
  <si>
    <t>- 상태에 따라 [신청하기] / [갱신 신청] / [다시 신청하기] / 비활성으로 전환된다. 탭 → 서류 제출 화면(S125)</t>
  </si>
  <si>
    <t>제출 서류 비보관 안내</t>
  </si>
  <si>
    <t>- 제출 서류는 심사 완료 후 파기되므로 결과 화면에서 서류를 다시 보여주지 않는다. 신청일·결과·만료일·반려 사유만 표시한다</t>
  </si>
  <si>
    <t>제출 서류는 심사(승인 또는 반려) 완료 후 지체없이 파기(개인정보 수집·이용 동의 안내)</t>
  </si>
  <si>
    <t>문서유형 선택 및 파일첨부</t>
  </si>
  <si>
    <t>- 선택 컨트롤(바텀시트)에서 문서유형 선택(예: 근로/사업소득) 후 [파일첨부] 버튼으로 증빙서류 첨부
- 파일별로 문서유형이 개별 지정되지 않고 화면에서 선택된 유형 1개만 전송되어, 서로 다른 유형의 서류를 섞어 제출하면 서버에는 한 유형으로만 기록될 수 있음</t>
  </si>
  <si>
    <t>문서유형 선택 컨트롤 표기(R-02)</t>
  </si>
  <si>
    <t>- 드롭다운에서 문서유형 선택(예: 근로/사업소득) 후 [파일첨부] 버튼으로 증빙서류 첨부
- 파일별로 문서유형이 개별 지정되지 않고 화면에서 선택된 유형 1개만 전송되어, 서로 다른 유형의 서류를 섞어 제출하면 서버에는 한 유형으로만 기록될 수 있음</t>
  </si>
  <si>
    <t>첨부파일 목록</t>
  </si>
  <si>
    <t>- 첨부한 파일명이 목록에 표시되고 항목별로 미리보기(이미지=인앱 뷰어, PDF=새 탭)·삭제(X) 가능
- 최대 3개까지 첨부 가능, 3개 도달 시 [파일첨부] 버튼 비활성화 + 안내 토스트</t>
  </si>
  <si>
    <t>첨부 안내 문구</t>
  </si>
  <si>
    <t>- '서류에 주민번호 뒷자리는 숨기고 제출해주세요' 개인정보 마스킹 안내
- '사진 및 파일은 최대 3개까지 등록 가능해요'
- '10MB 이내의 JPG, PNG, PDF 파일을 업로드 하실 수 있습니다' — 허용 외 형식(WEBP 등) 첨부 시 '첨부할 수 없는 파일이에요.' 안내</t>
  </si>
  <si>
    <t>개인정보 수집·이용 동의</t>
  </si>
  <si>
    <t>- 체크박스 + '투자자 유형 변경 개인정보 수집 및 이용 동의 안내' 링크
- 링크 클릭 시 전문 페이지(S126)로 이동하며, 페이지 하단 [동의하기] 버튼을 눌러야 체크박스가 자동으로 체크됨(체크박스 직접 클릭만으로는 동의 처리되지 않음)
- 첨부 1개 이상 + 본 동의 체크가 모두 되어야 [제출하기] 버튼이 활성화됨</t>
  </si>
  <si>
    <t>제9조(회원 등급별 자격 심사 및 갱신) ① 소득적격회원이 되려면 소득 증빙서류를 제출하고 회사의 심사를 통과해야 한다 — 서류 제출에 필요한 개인정보 수집 동의 절차</t>
  </si>
  <si>
    <t>개인정보 동의 전문: 팝업 → 페이지(R-01)</t>
  </si>
  <si>
    <t>- 체크박스 + '투자자 유형 변경 개인정보 수집 및 이용 동의 안내' 링크
- 링크 클릭 시 전문 팝업이 열리며, 팝업 내 [동의하기] 버튼을 눌러야 체크박스가 자동으로 체크됨(체크박스 직접 클릭만으로는 동의 처리되지 않음)
- 첨부 1개 이상 + 본 동의 체크가 모두 되어야 [제출하기] 버튼이 활성화됨</t>
  </si>
  <si>
    <t>제출하기 버튼</t>
  </si>
  <si>
    <t>- 첨부·동의 완료 전에는 비활성 상태
- 첨부파일 업로드 → 신청 순서로 처리되며, 업로드가 실패하면 신청 자체를 접수하지 않고 재첨부를 안내한다
- 성공 시 '소득적격투자자 신청이 완료되었어요.' 안내 후 이전 화면으로 복귀
- 이미 심사 중인 신청이 있으면 '이미 심사 중인 신청이 있어요. 심사 완료 후 재신청해 주세요.' 토스트로 재신청이 차단된다(정상 흐름에서는 S124 상태 카드에서 [신청하기]가 비활성 처리되어 이 화면에 진입하지 않음, R-11)</t>
  </si>
  <si>
    <t>제9조(회원 등급별 자격 심사 및 갱신) ① 심사가 승인되면 거래 한도가 자동으로 상향되고 알림이 발송된다. ② 소득적격 자격은 1년마다 갱신해야 한다. ③ 만료 30일 전 앱 알림으로 안내하며, 만료일까지 갱신 승인받지 못하면 일반회원으로 자동 전환되어 한도가 줄어든다.</t>
  </si>
  <si>
    <t>중복 신청 차단 위치 변경(R-11)</t>
  </si>
  <si>
    <t>- 첨부·동의 완료 전에는 비활성 상태
- 첨부파일 업로드 → 신청 순서로 처리되며, 업로드가 실패하면 신청 자체를 접수하지 않고 재첨부를 안내한다
- 성공 시 '소득적격투자자 신청이 완료되었어요.' 안내 후 이전 화면으로 복귀
- 이미 심사 중인 신청이 있으면 '이미 심사 중인 신청이 있어요. 심사 완료 후 재신청해 주세요.' 토스트로 재신청이 차단된다(화면 자체에는 심사 상태 표시가 없음)</t>
  </si>
  <si>
    <t>- 페이지를 닫고 이전 화면(서류첨부 단계)으로 복귀
- 닫기만으로는 동의 처리되지 않으며 체크박스는 그대로 미체크 상태 유지</t>
  </si>
  <si>
    <t>팝업 → 페이지 뒤로가기(R-01)</t>
  </si>
  <si>
    <t>- 팝업을 닫고 이전 화면(서류첨부 단계)으로 복귀
- 닫기만으로는 동의 처리되지 않으며 체크박스는 그대로 미체크 상태 유지</t>
  </si>
  <si>
    <t>1) 보유 및 이용 기간</t>
  </si>
  <si>
    <t>- 제출한 증빙서류(첨부파일)는 소득적격투자자 심사(승인 또는 반려) 완료 후 지체없이 파기
- 심사 결과 및 확인에 필요한 최소 정보(소득금액·심사일자·지정 유형 등)는 회원 탈퇴 시까지 보관, 단 관련 법령상 별도 보존기간이 있으면 그 기간까지 보관</t>
  </si>
  <si>
    <t>제9조(회원 등급별 자격 심사 및 갱신) — 소득 증빙서류 제출 및 심사 절차와 직접 연동되는 개인정보 보유기간 안내</t>
  </si>
  <si>
    <t>2) 동의 거부권 및 불이익</t>
  </si>
  <si>
    <t>- 개인정보 수집·이용 동의를 거부할 권리가 있음을 안내
- 동의를 거부하면 소득적격투자자 유형 심사가 진행되지 않아 투자한도 상향이 불가하며, 일반투자자 한도(보유 1,000만원/연간거래 4,000만원)가 그대로 적용됨</t>
  </si>
  <si>
    <t>제9조(회원 등급별 자격 심사 및 갱신), 제10조(투자 및 거래 한도 제한) — 동의 거부 시 일반회원 한도(보유 1,000만원/연간거래 4,000만원)가 유지된다는 안내와 일치</t>
  </si>
  <si>
    <t>3) 수집·이용 항목</t>
  </si>
  <si>
    <t>- 3-1. 일반 개인정보(필수): 이름, ID — 본인 확인 및 심사 결과 안내 목적
- 3-2. 신용능력정보(필수): 소득정보(근로·이자·배당소득 등), 자산정보(온라인소액증권 투자 내역서 등) — 소득적격투자자 요건 충족 여부 확인 목적
- 하단에 개인정보 보호법, 자본시장법 시행령 제10조 제3항 제17호, 신용정보의 이용 및 보호에 관한 법률 등 근거 법령 명시</t>
  </si>
  <si>
    <t>제9조(회원 등급별 자격 심사 및 갱신) 심사를 위한 소득 증빙서류 제출과 직접 연관 — 자본시장법 시행령 제10조 제3항 제17호 등 근거 법령 인용</t>
  </si>
  <si>
    <t>동의하기 버튼</t>
  </si>
  <si>
    <t>- 누르면 페이지가 닫히고 이전 화면(서류첨부 단계)의 '투자자 유형 변경 개인정보 수집 및 이용 동의' 체크박스가 자동으로 체크된 상태로 전환
- 체크박스를 직접 클릭해서는 동의 처리되지 않고, 반드시 본 페이지 하단의 [동의하기]를 눌러야 함</t>
  </si>
  <si>
    <t>팝업 → 페이지 표기(R-01)</t>
  </si>
  <si>
    <t>- 누르면 팝업이 닫히고 이전 화면(서류첨부 단계)의 '투자자 유형 변경 개인정보 수집 및 이용 동의' 체크박스가 자동으로 체크된 상태로 전환
- 체크박스를 직접 클릭해서는 동의 처리되지 않고, 반드시 본 팝업의 [동의하기]를 눌러야 함</t>
  </si>
  <si>
    <t>로그인 방식 설정 — 간편인증 / 생체인증 토글</t>
  </si>
  <si>
    <t>- 간편인증 로그인: 등록 전이면 '등록' 배지(등록 후에는 '수정'). 토글 ON 시 토스트 '본인인증 후 새 PIN을 등록합니다.' → 본인인증(MOK, 로그인 계정과 일치 확인) → 보안 키패드 2회 입력 → 등록 성공 시 토글 ON + '간편인증이 등록되었어요.'
- 생체 인증 로그인: ON 시 기기에 생체 미등록이면 사유 토스트와 함께 토글이 원복되고, 앱에 미등록이면 생체 등록 화면으로 이동
- 두 토글은 상호배타 — 한쪽을 켜면 다른 쪽이 자동으로 꺼진다. OFF는 서버의 PIN을 삭제하는 것이 아니라 '기본(아이디/비밀번호) 방식으로 되돌리기'일 뿐이다</t>
  </si>
  <si>
    <t>알림 설정 — 커뮤니티 / 새로운소식 / 고객지원</t>
  </si>
  <si>
    <t>- 커뮤니티(보유·관심종목 새 글) / 새로운소식(공지·상장정보) / 고객지원(1:1 문의 답변) — 토글 즉시 서버 저장, 실패 시 원복
- 이벤트 알림 행은 발송 채널 미구현으로 임시 비노출(서버 필드는 유지되어 과거에 켜둔 계정은 값이 남아 있다)
- 주문·보안 등 필수 안내는 이 설정과 무관하게 항상 자동 발송된다</t>
  </si>
  <si>
    <t>위치 (선택)</t>
  </si>
  <si>
    <t>- OS 위치 권한을 그대로 비추는 토글 — 앱에서 끄는 것은 불가('위치 권한은 기기 설정에서 해제할 수 있어요.' 안내)
- 영구 거부 상태면 [기기 설정] 칩이 나타나 OS 설정으로 이동시킨다. 화면에 복귀할 때마다 권한을 재확인한다
- PC 브라우저에서는 위치 조회가 항상 '미지원' 취급되어 토글이 정상 동작하지 않는다(실기기 전용 기능)</t>
  </si>
  <si>
    <t>해외 이용 잠금 여부</t>
  </si>
  <si>
    <t>- 서버 저장 토글, 실패 시 원복 + '해외 이용 설정 변경에 실패했어요.' 안내
- 라벨('잠금 여부')과 설명 문구('해외에서 주문·거래가 가능하도록 허용해요')의 방향이 반대로 읽히는 알려진 제약(U-27) — ON이 '잠금'인지 '허용'인지 헷갈리기 쉽다</t>
  </si>
  <si>
    <t>로그아웃</t>
  </si>
  <si>
    <t>- 확인 팝업 없이 즉시 로그아웃되고 토스트 '로그아웃 후 홈으로 이동되요.' 후 홈으로 이동한다(알려진 제약 U-30 — 오탭 시 바로 로그아웃됨)</t>
  </si>
  <si>
    <t>- 탭하면 회원 상태 확인 화면(/auth/withdraw)으로 이동한다</t>
  </si>
  <si>
    <t>회원은 언제든지 앱에서 탈퇴를 신청할 수 있으며, 회사는 관련 법령에 특별한 제한이 없는 한 즉시 처리한다(이용약관 제7조①).</t>
  </si>
  <si>
    <t>보유 종목 경고 헤더</t>
  </si>
  <si>
    <t>- 보유 종목이 있는 상태로 진입하면 경고 문구('아직 정리되지 않은 보유 종목이 있어요.')가 먼저 뜬다
- 판매 후 탈퇴를 권장하는 안내이며, 보유한 채로도 탈퇴 자체는 가능하다</t>
  </si>
  <si>
    <t>종목을 보유하고 있어도 탈퇴할 수 있으며, 탈퇴 후에는 플랫폼 대신 해당 종목의 증권사 앱에서 보유 수량을 확인할 수 있다(이용약관 제7조②).</t>
  </si>
  <si>
    <t>보유종목 N건 / 판매하러 가기</t>
  </si>
  <si>
    <t>- 총 보유 종목 건수 표시 + [판매하러 가기]로 MY &gt; 내 자산 &gt; 보유로 바로 이동해 정리할 수 있다</t>
  </si>
  <si>
    <t>[판매하러 가기] 이동 대상 변경</t>
  </si>
  <si>
    <t>- 총 보유 종목 건수 표시 + [판매하러 가기]로 거래 목록 보유 탭으로 바로 이동해 정리할 수 있다</t>
  </si>
  <si>
    <t>보유 종목 카드 리스트</t>
  </si>
  <si>
    <t>- 가게명·종목명 + 현재가·전일대비(등락률, 상승 빨강/하락 파랑) + 개당 평균단가·보유수량
- 열람 전용 — 카드를 눌러도 종목 상세로 이동하지 않는다(탈퇴 절차 화면이라 주문 진입을 막음)</t>
  </si>
  <si>
    <t>탈퇴 전 꼭 확인해 주세요 — 안내 4항목</t>
  </si>
  <si>
    <t>- ① 미체결 주문 자동 취소 — 탈퇴 즉시 모든 미체결 주문이 취소되고 잠겼던 금액이 연결 계좌로 자동 원복
- ② 작성한 커뮤니티 글은 남지만 탈퇴 후에는 수정·삭제가 어려움 — 정리가 필요하면 탈퇴 전에 처리 권장
- ③ 주문·체결 내역은 10년간 분리 보관(관련 법령 기준)
- ④ 같은 아이디로 재가입 불가 — 탈퇴 후 영업일 3일부터 새 계정 가입 가능, 이전 주문·체결·커뮤니티 활동과는 연결되지 않음</t>
  </si>
  <si>
    <t>미체결 주문은 탈퇴와 동시에 자동 취소되어 호가 목록에서 즉시 삭제된다. 탈퇴 후 재가입은 영업일 3일이 지난 후부터 가능하며 탈퇴한 아이디는 재사용할 수 없고, 재가입해도 이전 계정의 주문·체결·AI매칭 기록은 복원되지 않는다. 주문·체결 내역은 자본시장과 금융투자업에 관한 법률 제60조 및 동법 시행령 제62조에 따라 10년간 보존한다(이용약관 제7조③~⑥).</t>
  </si>
  <si>
    <t>확인 체크박스 + 탈퇴 진행하기 버튼</t>
  </si>
  <si>
    <t>- 체크박스를 선택해야 [탈퇴 진행하기] 버튼이 활성화된다(현재 미체크 상태로 버튼은 비활성 회색)
- 다음 단계는 '탈퇴 사유' 화면</t>
  </si>
  <si>
    <t>아쉬운 점을 알려주세요 — 탈퇴 사유 선택</t>
  </si>
  <si>
    <t>- 복수 선택 가능한 체크박스 목록(예시로 '판매까지 기다리는 시간이 너무 길어요.'가 선택된 상태)
- 옵션 8종 + '그 외 다른 이유' — 마지막 항목 선택 시 직접 입력란이 추가로 나타난다(주관식 사유)</t>
  </si>
  <si>
    <t>탈퇴 사유 체크리스트</t>
  </si>
  <si>
    <t>- 판매까지 기다리는 시간이 너무 길어요 / 기대했던 수익이 나오지 않아요 / 주문이 잘 체결되지 않아요 / 투자할 수 있는 종목이 너무 적어요 / 원하는 새 종목이 없어요 / 수수료가 부담돼요 / 앱이 너무 복잡해요 / 당분간 모든 투자를 쉬려고요</t>
  </si>
  <si>
    <t>탈퇴하기 버튼</t>
  </si>
  <si>
    <t>- 누르면 이전 화면에서 확인한 유의사항에 따라 최종 탈퇴가 처리된다
- 탈퇴 처리 후에는 같은 아이디로 재로그인할 수 없다(영업일 3일 후 신규 가입만 가능)</t>
  </si>
  <si>
    <t>탈퇴 신청은 관련 법령에 특별한 제한이 없는 한 즉시 처리된다(이용약관 제7조①).</t>
  </si>
  <si>
    <t>헤더(프로필칩·알림벨)</t>
  </si>
  <si>
    <t>- 좌측 '더보기' 타이틀, 우측 프로필칩(비로그인 시 [로그인] 유도/로그인 시 프로필 이니셜)과 알림 벨 아이콘
- 프로필칩 탭: 비로그인은 로그인 화면으로, 로그인 상태는 MY 화면으로 이동</t>
  </si>
  <si>
    <t>메뉴 목록 — 1단 목록 (그룹 구분 없음)</t>
  </si>
  <si>
    <t>- 그룹 구분선·그룹 제목 없이 아래 8개 행을 순서대로 1단 목록으로 표시한다(약관 및 정책에 하위 메뉴가 있어 그룹 헤더를 넣으면 3뎁스가 되는 것을 방지)
- 순서: ① 공지사항 ② 이벤트 ③ 이용안내 ④ 고객센터 ⑤ 투자자 유의사항 ⑥ 약관 및 정책 ⑦ 회사소개 ↗ ⑧ 앱 버전
- 모든 행은 로그인 불필요(단, 고객센터 내 1:1 문의만 로그인 필요)
- 경로: 공지사항 /more/notice · 이벤트 /more/event · 이용안내 /more/guide(전 탭 준비 중) · 고객센터 /more/customer-service · 투자자 유의사항 약관 화면(유의사항 유형) · 약관 및 정책 /more/policy</t>
  </si>
  <si>
    <t>메뉴 순서·명칭 재구성, 그룹 구분 없는 1단 목록</t>
  </si>
  <si>
    <t>- 4개 행 모두 로그인 불필요(단, 고객센터 내 1:1 문의만 로그인 필요)
- 이용안내: /more/guide (전 탭 준비 중)
- 이벤트: /more/event
- 공지사항: /more/notice
- 고객센터: /more/customer-service</t>
  </si>
  <si>
    <t>투자자 자격 신청 배너 (조건부)</t>
  </si>
  <si>
    <t>- 메뉴 목록 최상단(헤더 아래)에 배너 1개를 조건부 노출한다: 로그인한 일반회원이면서 신청 가능한 상태(미신청·반려·만료)일 때만. 심사 중·승인 상태이거나 비로그인이면 숨긴다
- 배너 탭 → 투자자 자격 신청(MY &gt; 내 정보, S124)
- 기존 '소득적격투자자 신청' 메뉴 행은 삭제(중복 진입점 정리). 명칭은 '투자자 자격 신청'으로 통일하고 상세 화면 내 법령명칭(소득적격투자자) 병기는 유지한다</t>
  </si>
  <si>
    <t>투자자 자격 신청 행 삭제 → 조건부 배너(R-11)</t>
  </si>
  <si>
    <t>- 구분선 아래 배치
- 투자자 유의사항: 약관 화면(유의사항 유형)으로 이동, 로그인 불필요
- 소득적격투자자 신청: 로그인 필요 — 비로그인 상태로 탭하면 로그인 안내 토스트가 뜨고 이동하지 않는다</t>
  </si>
  <si>
    <t>메뉴 ⑥ 약관 및 정책 · ⑦ 회사소개 ↗</t>
  </si>
  <si>
    <t>- 약관 및 정책: /more/policy(정책 목록 4종). 메뉴명을 '정책' → '약관 및 정책'으로 변경
- 회사소개: 외부 사이트(krste.co.kr) 연결 — 행 우측에 외부 링크 아이콘(↗) 표시. 시스템 인앱 브라우저(주소창 보임)로 앱 위에 덮여 열리며 앱을 벗어나지 않음(PC는 새 탭). 좌상단 완료 버튼으로 앱 복귀</t>
  </si>
  <si>
    <t>약관 및 정책 명칭 변경 · 회사소개 외부 링크 표시</t>
  </si>
  <si>
    <t>- 정책: /more/policy (정책 목록 4종)
- 회사소개: 외부 사이트(krste.co.kr) 연결 — 시스템 인앱 브라우저(주소창 보임)로 앱 위에 덮여 열리며 앱을 벗어나지 않음(PC는 새 탭). 좌상단 완료 버튼으로 앱 복귀</t>
  </si>
  <si>
    <t>앱버전 행</t>
  </si>
  <si>
    <t>- 이동 없이 '현재 버전정보 {버전}' 표시, chevron 없음
- 개발 빌드에서만 버전 뒤 'DEV' 표기와 서버 상태 점(녹색=서버 정상/빨강=서버 응답 없음, 진입 시 1회 조회)이 노출되며, 운영 빌드에는 표시되지 않는다
- 개발 빌드에서만 행을 3연타하면 개발 설정 화면 진입(운영 빌드는 무반응)</t>
  </si>
  <si>
    <t>하단 로고·법적고지 배너</t>
  </si>
  <si>
    <t>- 한국ST거래 로고 + '한국ST거래의 정보는 투자 참고용이며, 서비스 내 모든 정보는 실제와 차이가 있을 수 있습니다. 투자 결과에 대한 법적 책임은 사용자에게 귀속됩니다.' 면책 문구
- 기획 문서 기준 하단에 투자자 유의안내/개인정보처리방침/고객센터로 가는 푸터 링크 3개가 함께 배치된다</t>
  </si>
  <si>
    <t>- 이전 화면(더보기 메인)으로 복귀</t>
  </si>
  <si>
    <t>공지 행 구조</t>
  </si>
  <si>
    <t>- '[유형명] 제목' 1줄 말줄임 + 노출일 + N 배지(노출일 7일 이내에만 부착) 조합으로 표시
- 고정 공지가 최상단에 오고, 그 아래는 노출일 최신순으로 정렬된다(서버 정렬)</t>
  </si>
  <si>
    <t>신규 N배지 예시(서비스이용약관 개정 안내)</t>
  </si>
  <si>
    <t>- 노출일이 7일 이내인 공지에만 빨간 N 배지가 붙는다
- 탭하면 해당 공지 상세로 이동한다</t>
  </si>
  <si>
    <t>제3조(약관의 게시와 개정) ② 약관 개정 시 적용일자·개정사유를 명시해 적용일자 30일 전부터 공지 — 이 공지가 그 고지 수단</t>
  </si>
  <si>
    <t>[소식] 유형 공지</t>
  </si>
  <si>
    <t>- 종목 상장, 투자자 모집 시작 등 서비스 소식성 공지도 같은 목록에 함께 노출된다
- 유형([공지]/[소식]) 구분 없이 노출일 최신순으로 섞여 정렬된다</t>
  </si>
  <si>
    <t>목록 로드 방식 및 빈 상태</t>
  </si>
  <si>
    <t>- 10건씩 무한 스크롤(끝에 닿으면 자동 추가)로 로드된다
- 등록된 공지가 없으면 '등록된 공지사항이 없어요.' 표시
- 조회 실패 시 '공지사항을 불러오지 못했어요.' + '잠시 후 다시 시도해 주세요.' 안내</t>
  </si>
  <si>
    <t>유형 칩 (전체/공지/소식)</t>
  </si>
  <si>
    <t>- 목록 상단에 유형 칩 [전체] [공지] [소식]을 표시한다(R-02 칩 스타일). 기본 '전체'
- 칩 전환 시 목록을 처음(10건)부터 다시 로드한다. 고정 공지는 '전체'·'공지'에서만 상단 고정</t>
  </si>
  <si>
    <t>공지 목록에 섞인 [소식] 유형 구분</t>
  </si>
  <si>
    <t>닫기(X)</t>
  </si>
  <si>
    <t>- 상세를 닫고 공지사항 목록으로 복귀
- 목록을 거쳐 들어왔을 때만 하단에 이전글/다음글 내비게이션이 함께 표시된다</t>
  </si>
  <si>
    <t>시행일 및 개정 배경 안내</t>
  </si>
  <si>
    <t>- '2026년 10월 1일(목) 00:00' 시행 예정인 서비스이용약관 개정을 사전 공지
- 주요 변경 사항을 조항별로 나열해 회원이 확인 후 동의 여부를 판단하도록 안내</t>
  </si>
  <si>
    <t>제3조(약관의 게시와 개정) ② 약관을 개정할 경우 적용일자 및 개정사유를 명시하여 적용일자 30일 전부터 공지하거나 통지한다</t>
  </si>
  <si>
    <t>신설 조항 안내(제15조의2, 제22조의2)</t>
  </si>
  <si>
    <t>- 제15조의2(신설): 거래 수수료 기본 요율(구매·판매 각 0.1%) 명시, 이벤트·프로모션 기간 수수료는 별도 공지 원칙 추가
- 제22조의2(신설): AI 매칭 등 자동화 의사결정 관련 안내, 투자 성향 분석 및 종목 추천 기능 관련 조항 신설, 자동화 분석 결과에 대한 이의제기 절차 안내</t>
  </si>
  <si>
    <t>제16조(수수료 및 세금 안내) ① 유통 수수료 체결 금액의 0.1% 부과 규정 및 제12조③ AI 매칭 기능(투자 권유 아님) 규정과 연계되는 개정 사항</t>
  </si>
  <si>
    <t>변경 조항 안내(제18조, 제25조)</t>
  </si>
  <si>
    <t>- 제18조(변경): 이용 제한 사유에 자전거래 의심 행위 감지 시 즉시 주문 차단 조항 추가, 동일 가격 구매·판매 주문 동시 등록 금지 명시
- 제25조(변경): 서비스 중단 사전 고지 의무를 12시간 전에서 24시간 전으로 강화</t>
  </si>
  <si>
    <t>제13조(매매체결 원칙 및 주문 관리) ② 자전거래(같은 사람의 동시 매수·매도) 자동 차단 규정과 연계되는 개정 사항</t>
  </si>
  <si>
    <t>재동의 안내</t>
  </si>
  <si>
    <t>- 변경된 약관에 대한 회원 재동의가 필요하며, 2026년 10월 1일 이후 앱 접속 시 동의 팝업이 표시된다
- 미동의 시 거래 서비스 이용이 제한된다고 명시</t>
  </si>
  <si>
    <t>제3조(약관의 게시와 개정) ③ 회원이 적용 전일까지 거부 의사를 밝히지 않으면 동의한 것으로 간주 ④ 거부 시 언제든지 이용계약을 해지(탈퇴)할 수 있다</t>
  </si>
  <si>
    <t>이전글/다음글 내비게이션</t>
  </si>
  <si>
    <t>- 공지사항 목록을 거쳐 들어왔을 때만 하단에 표시된다
- 처음/마지막 게시글에서 이동을 시도하면 '처음/마지막 게시글이에요' 토스트가 뜬다
- 알림 등으로 상세에 직접 진입하면 이 내비게이션이 보이지 않는다(현 사양)</t>
  </si>
  <si>
    <t>뒤로가기 + 타이틀</t>
  </si>
  <si>
    <t>- 이전 화면(더보기 메인)으로 복귀
- 비로그인 상태에서도 열람 가능한 목록 화면</t>
  </si>
  <si>
    <t>이벤트 카드(진행중)</t>
  </si>
  <si>
    <t>- [진행중] 배지 + 제목 + 기간 구조로 표시
- 상시 진행 이벤트는 기간 대신 '상시'로 표시됨
- 진행중 카드가 서버 정렬 기준으로 종료 카드보다 항상 위에 노출되고, 진행/종료 그룹 사이에 간격이 있다</t>
  </si>
  <si>
    <t>이벤트 카드(예시 — 회원감사이벤트)</t>
  </si>
  <si>
    <t>- 카드 탭 시 상세 화면으로 이동
- 종료된 이벤트 카드는 그림자 없이 회색 톤 다운되고 텍스트가 흐리게 표시되어 진행중 카드와 시각적으로 구분된다</t>
  </si>
  <si>
    <t>- 최초 진입 시 한 번에 최대 20건(종료 포함)만 로드되며 [더보기] 버튼이나 무한 스크롤이 없어 21건째부터는 확인할 방법이 없다
- 진행 중인 이벤트가 하나도 없으면 '진행 중인 이벤트가 없어요' + '새로운 이벤트가 열리면 여기서 알려드릴게요.' 안내가 표시된다</t>
  </si>
  <si>
    <t>- 상세 화면을 닫고 이벤트 목록으로 복귀</t>
  </si>
  <si>
    <t>타이틀 + 기간</t>
  </si>
  <si>
    <t>- 제목 → (배지 + 기간) → 본문 → 상세 이미지 순으로 배치
- 목록과 달리 상세에서는 '진행중' 상태일 때 배지가 표시되지 않고, 대기·종료 상태에만 배지가 노출된다
- 상세를 열 때마다 조회수가 +1 되며 중복 방어가 없어 새로고침마다 계속 증가한다</t>
  </si>
  <si>
    <t>이벤트 기간 / 당첨자 발표 안내</t>
  </si>
  <si>
    <t>- 이벤트 기간과 당첨자 발표일, 당첨 발표 방식(앱 내 알림 + 개별 문자 통보) 안내
- 경품 발송(당첨 확인 후 14일 이내)과 등수별 수령 방법(배송지 입력 후 택배 / 모바일 쿠폰 문자) 구분 안내</t>
  </si>
  <si>
    <t>경품 목록</t>
  </si>
  <si>
    <t>- 등수별 경품 항목과 수량을 리스트로 나열(예: 아이패드 프로 1명, 다이슨 에어랩 컴플리트 3명 등)</t>
  </si>
  <si>
    <t>참여 방법 및 유의사항</t>
  </si>
  <si>
    <t>- 참여 방법 3단계: ① 앱 실행 ② 가입 계정으로 로그인 ③ 자동 응모 완료(별도 신청 불필요)
- 유의사항: 당첨 시 개인정보(성명, 주민등록번호 등) 제공에 동의해야 경품 수령이 가능하며, 당첨 발표 후 7일 이내 수령 정보 미제출 시 당첨이 취소된다</t>
  </si>
  <si>
    <t>탭 4개(계좌연결/거래시작/가디언이란?/가디언혜택)</t>
  </si>
  <si>
    <t>- 각 탭을 선택해 이동 가능하며 URL의 ?tab= 파라미터로 딥링크 진입 지원
- 홈 화면의 빠른 안내 카드를 탭하면 해당 탭이 선택된 채로 이 화면이 열린다</t>
  </si>
  <si>
    <t>준비 중 안내(아이콘+문구)</t>
  </si>
  <si>
    <t>- 4개 탭 전부 콘텐츠 없이 '준비 중이에요' 빈 상태만 표시된다
- 탭을 전환해도 동일한 준비 중 화면이 반복된다</t>
  </si>
  <si>
    <t>보조 안내문구</t>
  </si>
  <si>
    <t>- '빠른 시일 내에 안내해 드릴게요.' — 추후 콘텐츠 업데이트 예정임을 알리는 보조 문구</t>
  </si>
  <si>
    <t>자주묻는 질문</t>
  </si>
  <si>
    <t>- 탭하면 FAQ 목록 화면으로 이동
- 로그인 불필요</t>
  </si>
  <si>
    <t>1:1 문의하기</t>
  </si>
  <si>
    <t>- 탭하면 1:1 문의 화면(내 문의내역)으로 이동
- 로그인 필요 — 비로그인 상태로 탭하면 로그인 안내가 표시되고 이동하지 않는다</t>
  </si>
  <si>
    <t>- 이전 화면(고객센터 메인)으로 복귀</t>
  </si>
  <si>
    <t>카테고리 칩(전체/주문/회원/계좌/기타)</t>
  </si>
  <si>
    <t>- 칩을 선택하면 해당 카테고리 질문만 필터링되어 표시된다
- 카테고리를 변경하면 이미 펼쳐둔 답변은 접힌다</t>
  </si>
  <si>
    <t>질문 목록(아코디언)</t>
  </si>
  <si>
    <t>- 질문을 탭하면 답변이 펼쳐지며 한 번에 1건만 펼쳐진다(다른 질문을 열면 이전에 펼친 질문은 자동으로 접힘)
- 펼침/접힘 시 높이·배경 전환 애니메이션이 적용되고, 답변 본문은 줄바꿈이 보존된다</t>
  </si>
  <si>
    <t>약관·법령 관련 질문 예시</t>
  </si>
  <si>
    <t>- '투자계약증권은 예금자보호법의 보호를 받나요?', '약관이 변경되면 어떻게 알 수 있나요?', '개인정보 유출이 발생하면 어떻게 알 수 있나요?' 등 서비스이용약관·법령과 직접 관련된 질문이 포함되어 있다</t>
  </si>
  <si>
    <t>제3조(약관의 게시와 개정) — 약관 개정 시 공지·통지 절차 및 회원 동의 간주 규정과 직접 연결되는 FAQ 항목</t>
  </si>
  <si>
    <t>목록 로드 및 빈 상태</t>
  </si>
  <si>
    <t>- 한 번에 최대 100건 로드(페이징 없음, FAQ 소량을 전제로 설계됨)
- 검색 바는 화면에 노출되지 않는다(마크업만 숨김 상태, QA 대상 아님)
- 등록된 질문이 없으면 '등록된 자주묻는 질문이 없어요', 조회 실패 시 '자주묻는 질문을 불러오지 못했어요.' + '잠시 후 다시 시도해 주세요.'</t>
  </si>
  <si>
    <t>문의유형 선택 · 제목 프리필</t>
  </si>
  <si>
    <t>- 상단 드롭다운(공통코드 문의유형) 중 하나를 반드시 선택 — 현재 '상장 제안' 선택 상태
- 내 주변 지도의 비상장 가게 [상장 제안] 버튼으로 진입하면 유형이 '상장 제안'으로, 제목이 `[{가게명}] 상장 제안`으로, 본문이 안내 문구로 자동 프리필된다(이 화면의 예시 내용이 그 경우)</t>
  </si>
  <si>
    <t>제목·본문 입력 및 글자수 제한</t>
  </si>
  <si>
    <t>- 제목 최대 20자, 본문 최대 10,000자 — 초과분은 입력 자체가 막히며 `n/10,000자` 카운터로 실시간 표시
- 문의유형·제목·본문 모두 필수 입력이며 미입력 시 [문의하기] 진행 불가</t>
  </si>
  <si>
    <t>첨부파일</t>
  </si>
  <si>
    <t>- 최대 10개 · 개당 5MB · JPG/PNG/WEBP만 실제 첨부 가능(카메라 촬영 포함)
- 안내 문구는 '사진 및 파일(PDF)…'로 PDF를 언급하지만 실제로는 PDF 첨부가 불가능한 문구-정책 불일치 상태
- Android 기기의 카메라 촬영본은 네이티브 이슈로 첨부되지 않는 문제가 있음(갤러리 선택은 정상, iOS는 정상)</t>
  </si>
  <si>
    <t>개인정보 처리 안내</t>
  </si>
  <si>
    <t>- 탭하면 1:1 문의 전용 개인정보 처리 안내 시트가 열린다([확인했어요] 버튼의 바텀시트)
- 동의 체크박스가 아니라 열람 전용이며, 확인 여부가 [문의하기] 제출 조건에 영향을 주지 않는다</t>
  </si>
  <si>
    <t>- 탭하면 1:1 문의 전용 개인정보 처리 안내 시트가 열린다([확인했어요] 버튼의 별도 팝업 화면)
- 동의 체크박스가 아니라 열람 전용이며, 확인 여부가 [문의하기] 제출 조건에 영향을 주지 않는다</t>
  </si>
  <si>
    <t>문의하기 버튼</t>
  </si>
  <si>
    <t>- 첨부파일 업로드 → 문의 접수 순서로 처리되며, 업로드가 실패하면 접수를 시도하지 않고 별도의 업로드 실패 안내(재첨부 필요)가 뜬다
- 접수 성공 시 토스트 `문의가 접수되었습니다.` 후 문의 내역·MY 활동내역의 문의 건수가 즉시 갱신된다
- 문의 내역의 [수정] 경유 시 이 화면이 수정 모드로 재사용되어 기존 제목·본문·첨부가 미리 채워지고, 완료 시 `문의가 수정되었습니다.` 토스트가 뜬다</t>
  </si>
  <si>
    <t>처리 목적</t>
  </si>
  <si>
    <t>- 1:1 문의의 접수·확인 및 답변 제공, 소비자 상담 및 분쟁처리 이력 관리(전자상거래법상 보존 의무 이행) 목적으로만 개인정보를 처리하며 목적 외 용도로 이용하지 않는다고 안내</t>
  </si>
  <si>
    <t>처리하는 개인정보 항목</t>
  </si>
  <si>
    <t>- 필수정보: 이름, ID / 자동 수집 정보: 접속 정보(기기 정보, 접속 일시)
- 휴대폰번호는 수집하지 않으며, 답변 완료 안내는 문자·카카오톡이 아닌 앱 내 알림(푸시)으로만 발송된다고 명시</t>
  </si>
  <si>
    <t>보유 및 이용 기간</t>
  </si>
  <si>
    <t>- 문의 접수 시점으로부터 3년간 보관 후 파기
- 전자상거래 등에서의 소비자보호에 관한 법률 시행령 제6조에 따른 소비자 상담 기록 보존기간임을 각주로 안내</t>
  </si>
  <si>
    <t>법적 근거</t>
  </si>
  <si>
    <t>- 개인정보 보호법 제15조 제1항 제2호(법령상 의무 준수), 전자상거래 등에서의 소비자보호에 관한 법률 시행령 제6조를 근거로 제시
- 관련 법령에 따른 처리이므로 별도의 동의 절차 없이 진행된다고 명시 — 즉 이 화면은 동의를 받는 화면이 아니라 처리 사실을 고지하는 화면</t>
  </si>
  <si>
    <t>확인했어요 버튼</t>
  </si>
  <si>
    <t>- 탭하면 바텀시트만 닫히고 1:1 문의 작성 화면으로 복귀 — 동의 여부를 서버에 별도로 기록하지 않는 열람 확인용 버튼</t>
  </si>
  <si>
    <t>팝업 → 바텀시트 표기(R-01)</t>
  </si>
  <si>
    <t>- 탭하면 팝업만 닫히고 1:1 문의 작성 화면으로 복귀 — 동의 여부를 서버에 별도로 기록하지 않는 열람 확인용 버튼</t>
  </si>
  <si>
    <t>버전 드롭다운</t>
  </si>
  <si>
    <t>- 상단 드롭다운에서 `투자자 유의사항 {버전} (YY.MM.DD~)` 형식으로 버전 선택 — 기본값은 최신 버전(v1.0)
- 정책 목록에는 노출되지 않고 더보기 메뉴 '투자자 유의사항' 항목과 푸터 링크, 약관 및 정책 화면 하단 링크로 진입한다</t>
  </si>
  <si>
    <t>진입점 추가</t>
  </si>
  <si>
    <t>- 상단 드롭다운에서 `투자자 유의사항 {버전} (YY.MM.DD~)` 형식으로 버전 선택 — 기본값은 최신 버전(v1.0)
- 정책 목록에는 노출되지 않고 더보기 메뉴 '투자자 유의사항' 항목과 푸터 링크로만 진입한다</t>
  </si>
  <si>
    <t>안내 목적 및 법적 근거</t>
  </si>
  <si>
    <t>- 금융소비자 보호에 관한 법률 제19조(설명의무), 자본시장과 금융투자업에 관한 법률 제47조(설명의무)에 따라 투자자에게 상품 구조와 위험을 설명하기 위한 법정 고지 화면</t>
  </si>
  <si>
    <t>제1조 — 투자계약증권의 법적 성격 및 원금손실 위험</t>
  </si>
  <si>
    <t>- 본 플랫폼 유통 상품은 자본시장법 제4조 제6항에 따른 투자계약증권으로, 발행사의 공동사업 성과에 따라 손익이 귀속되는 구조임을 고지
- 발행사 사업 성과에 따라 투자 원금의 전부 또는 일부 손실이 발생할 수 있고, 손실은 전적으로 투자자 본인 귀속임을 명시</t>
  </si>
  <si>
    <t>서비스이용약관 제2조(정의) ②: "투자계약증권 자본시장법 제4조 제6항에 따라 특정 투자자가 타인과의 공동사업에 금전을 투자하고 그 결과에 따른 손익을 귀속받는 계약상의 권리가 표시된 증권을 말한다. 본 서비스는 이미 발행이 완료된 투자계약증권의 유통(2차 거래)만을 지원한다." — 이 화면의 투자계약증권 정의·손익귀속 설명과 동일한 법적 근거를 재확인 고지</t>
  </si>
  <si>
    <t>예금자보호법 미적용 및 발행사 도산 위험</t>
  </si>
  <si>
    <t>- 은행 예금이 아니므로 예금자보호법 보호 대상이 아니며, 회사·계좌관리기관(증권사)이 원금이나 고정 수익을 보장하지 않음을 고지
- 발행사 파산·청산 시 원금 전부 또는 일부를 회수하지 못할 수 있으나, 투자계약증권은 전자증권법에 따라 전자등록부에 등록되므로 회사·계좌관리기관의 파산·도산과 무관하게 투자자의 권리(보유 사실)는 유지됨을 안내</t>
  </si>
  <si>
    <t>- 탭하면 `/more/terms/4` 약관 본문(유형코드 4, 서비스 이용약관)으로 이동
- 노출 순서(서비스이용약관→개인정보처리방침→위치기반서비스이용약관→커뮤니티운영정책)는 코드에 고정값으로 박혀 있어, admin에서 새 약관 유형을 추가해도 이 목록에 자동으로 반영되지 않는다(제약 U-03)</t>
  </si>
  <si>
    <t>개인정보처리방침</t>
  </si>
  <si>
    <t>- 탭 시 개인정보처리방침 본문(유형코드 6)으로 이동. 투자자 유의사항(유형코드 5)은 이 목록에 없고 더보기 메뉴·푸터·이 화면 하단 링크에서 별도 진입한다</t>
  </si>
  <si>
    <t>진입점 표기 추가</t>
  </si>
  <si>
    <t>- 탭 시 개인정보처리방침 본문(유형코드 6)으로 이동. 투자자 유의사항(유형코드 5)은 이 목록에 없고 더보기 메뉴·푸터에서 별도 진입한다</t>
  </si>
  <si>
    <t>- 탭 시 위치기반서비스정책 본문(유형코드 7)으로 이동</t>
  </si>
  <si>
    <t>- 탭 시 커뮤니티운영정책 본문(유형코드 8)으로 이동. 커뮤니티 글쓰기 화면의 '운영정책' 칩에서도 같은 화면으로 진입할 수 있다</t>
  </si>
  <si>
    <t>조회 실패 처리 및 본문 캐시</t>
  </si>
  <si>
    <t>- 목록 조회 실패 시 `정책을 불러오지 못했어요.` + `잠시 후 다시 시도해 주세요.` 안내(과거에는 이름 없는 빈 화면으로 보였음)
- 각 항목 본문은 10분간 캐시되어 admin에서 새 버전 등록 직후에는 이전 본문이 잠시 보일 수 있다</t>
  </si>
  <si>
    <t>투자자 유의사항 바로가기</t>
  </si>
  <si>
    <t>- 목록 하단에 [투자자 유의사항 보기 &gt;] 텍스트 링크를 둔다(더보기 메뉴 ⑤와 동일 화면). 이 목록의 하위 항목이 아니라 링크로만 제공한다 — 법정 고지 노출도 확보</t>
  </si>
  <si>
    <t>금융소비자 보호에 관한 법률 제19조·자본시장법 제47조 설명의무 고지</t>
  </si>
  <si>
    <t>법정 고지 노출도 확보</t>
  </si>
  <si>
    <t>- `서비스 이용약관 {버전} (YY.MM.DD~)` 형식, 기본값은 최신 버전. 본문은 admin 등록 마크다운을 렌더링하며 10분 캐시된다(개정 직후 확인 시 새로고침 필요)</t>
  </si>
  <si>
    <t>제1조 (목적)</t>
  </si>
  <si>
    <t>- 회사와 회원 간의 권리·의무 및 책임사항, 서비스 이용 조건과 절차 등 기본 사항을 규정한다는 목적 조항</t>
  </si>
  <si>
    <t>서비스이용약관 제1조(목적): "본 약관은 주식회사 한국ST거래(이하 '회사')가 운영하는 투자계약증권 다자간상대매매 유통 서비스인 한국ST거래(이하 '서비스' 또는 '플랫폼')의 이용에 관한 회사와 회원 간의 권리·의무 및 책임사항, 서비스 이용 조건과 절차 등 기본적인 사항을 규정함을 목적으로 한다." — 화면 본문과 동일한 문구</t>
  </si>
  <si>
    <t>제2조 (정의) — 서비스·투자계약증권·가게 정의</t>
  </si>
  <si>
    <t>- 서비스·투자계약증권·가게·종목 등 핵심 용어를 정의하는 제2조 시작 부분
- 아래로 스크롤하면 회원 등급(일반/소득적격/가디언), 거래·주문 용어, 계좌·인증 관련 정의까지 전체 전문이 이어진다</t>
  </si>
  <si>
    <t>서비스이용약관 제2조② 정의와 화면 본문이 정확히 일치: "투자계약증권 자본시장법 제4조 제6항에 따라 특정 투자자가 타인과의 공동사업에 금전을 투자하고 그 결과에 따른 손익을 귀속받는 계약상의 권리가 표시된 증권을 말한다. 본 서비스는 이미 발행이 완료된 투자계약증권의 유통(2차 거래)만을 지원한다."</t>
  </si>
  <si>
    <t>본문 스크롤 · 조회 실패</t>
  </si>
  <si>
    <t>- 아래로 스크롤하면 제3조(약관 게시·개정), 제2장 회원가입, 제3장 투자자 보호·한도, 제4장 거래·정산, 제5장 커뮤니티 운영, 제6장 시스템 운영(제21조)까지 전문이 이어진다
- 본문 조회 실패 시 `약관을 불러오지 못했어요.` + `잠시 후 다시 시도해 주세요.` 안내</t>
  </si>
  <si>
    <t>- `개인정보처리방침 {버전} (YY.MM.DD~)` 형식, 기본값 최신 버전 — 정책 목록의 두 번째 항목으로 진입</t>
  </si>
  <si>
    <t>처리방침 선언문</t>
  </si>
  <si>
    <t>- 회사가 이용자의 개인정보를 안전하게 보호함을 최우선 가치로 삼는다는 선언, 개인정보 보호법 제30조 등 관계 법령 준수 의지를 명시</t>
  </si>
  <si>
    <t>제1조 (개인정보의 처리 목적)</t>
  </si>
  <si>
    <t>- ① 회원 식별·본인확인: PASS 본인인증(휴대폰 인증) 또는 CI 획득, 계정 자동생성, 실명·성인여부 확인 — 주민등록번호는 미수집하고 CI로만 식별
- ② 회원가입 정보 처리: 아이디 생성, 비밀번호 암호화 저장, 직업·거래목적·자금출처·주소·국적 수집 — 서비스 이용 및 자금세탁방지 의무 이행 목적
- 여기서 수집되는 직업·거래목적·자금출처는 MY &gt; 내 정보의 직업/거래목적/자금출처 입력 화면과 대응된다</t>
  </si>
  <si>
    <t>서비스이용약관 제21조(시스템 연동 및 데이터 공유) ②: "서비스 제공 과정에서 수집되는 정보(거래내역, 투자성향 분석 결과 등)는 관련 법령이 허용하는 범위 내에서 금융감독 당국 제출 및 증권사와의 정산 목적으로만 활용된다." — 본 방침의 처리목적·이용범위 제한과 같은 취지로 연결됨</t>
  </si>
  <si>
    <t>표기 통일: '내정보' → '내 정보'</t>
  </si>
  <si>
    <t>- ① 회원 식별·본인확인: PASS 본인인증(휴대폰 인증) 또는 CI 획득, 계정 자동생성, 실명·성인여부 확인 — 주민등록번호는 미수집하고 CI로만 식별
- ② 회원가입 정보 처리: 아이디 생성, 비밀번호 암호화 저장, 직업·거래목적·자금출처·주소·국적 수집 — 서비스 이용 및 자금세탁방지 의무 이행 목적
- 여기서 수집되는 직업·거래목적·자금출처는 MY &gt; 내정보의 직업/거래목적/자금출처 입력 화면과 대응된다</t>
  </si>
  <si>
    <t>스크롤 시 이어지는 조항</t>
  </si>
  <si>
    <t>- 아래로 스크롤하면 회원 단계별 처리 항목, 보유·이용 기간, 제3자 제공·위탁, 이용자 권리 행사 방법 등 나머지 조항이 이어진다
- 본문 조회 실패 시 `약관을 불러오지 못했어요.` 안내, 10분 캐시 적용</t>
  </si>
  <si>
    <t>- `위치기반서비스 이용약관 {버전} (YY.MM.DD~)` 형식, 기본값 최신 버전 — 정책 목록의 세 번째 항목으로 진입</t>
  </si>
  <si>
    <t>- 위치정보의 보호 및 이용 등에 관한 법률 제19조 제1항을 근거로, 회사가 제공하는 위치기반서비스 이용에 관한 회사·회원 간 권리·의무·책임사항을 규정한다는 목적 조항</t>
  </si>
  <si>
    <t>제2조① (위치기반서비스의 정의)</t>
  </si>
  <si>
    <t>- 회원의 현재 위치 또는 위치 정보를 기반으로 관심가게·관심종목 알림, 인근 종목 탐색 등 부가 서비스를 제공하는 것으로 정의(위치정보법 제2조 제6호)
- 실제로는 백년가게 &gt; 내 주변 지도의 인근 가게 탐색·비상장 가게 상장 제안 기능이 이 조항의 적용 대상</t>
  </si>
  <si>
    <t>제2조② (개인위치정보의 정의)</t>
  </si>
  <si>
    <t>- '개인위치정보'란 특정 개인의 위치를 일정 시간 동안 처리한 위치정보로 정의(위치정보법 제2조 제2호)
- 아래로 스크롤하면 수집 항목, 보유기간, 제3자 제공 등 나머지 조항이 이어진다</t>
  </si>
  <si>
    <t>버전 드롭다운 · 운영정책 성격</t>
  </si>
  <si>
    <t>- `커뮤니티 운영정책 {버전} (YY.MM.DD~)` 형식, 기본값 최신 버전
- 본 운영정책은 서비스 이용약관의 일부를 구성하며 위반 시 이용약관에 따른 제재가 적용됨을 명시</t>
  </si>
  <si>
    <t>서비스이용약관 제5장(커뮤니티 운영 및 이용 제한 정책) 제17~20조가 이 화면 '커뮤니티 운영정책' 문서의 근거 조항 — 화면은 이용약관 본체와 별개 문서로 노출되지만 법적으로는 이용약관에 포함된 정책</t>
  </si>
  <si>
    <t>커뮤니티 이용 및 글 작성 권한</t>
  </si>
  <si>
    <t>- 비회원 포함 누구나 읽기 가능, 로그인 회원 누구나 글 작성 가능
- 글 작성 시점에 해당 종목을 1개 이상 보유한 회원에게 '가디언(Guardian)' 배지가 별도 설정 없이 자동 표시</t>
  </si>
  <si>
    <t>서비스이용약관 제17조①: "종목 커뮤니티 게시글은 비로그인 상태에서도 열람할 수 있다. 다만, 게시글 작성은 로그인한 회원만 가능하며, 이 중 게시글 작성 시점에 해당 종목을 1개 이상 보유한 회원을 가디언이라고 한다." — 화면 문구와 동일한 내용</t>
  </si>
  <si>
    <t>게시글 수정 및 삭제 규칙</t>
  </si>
  <si>
    <t>- 본인 작성 글은 자유롭게 수정·삭제 가능하며, 본인이 삭제한 글은 목록에서 완전 삭제
- 운영자가 정책 위반으로 삭제한 글은 자리에 '운영정책 위반으로 삭제된 글이에요' 안내가 표시되고 작성자가 임의로 수정·삭제할 수 없음
- 회원 삭제와 운영자 위반삭제가 동시에 걸리면 먼저 완료된 처리가 최종 적용</t>
  </si>
  <si>
    <t>서비스이용약관 제17조②~⑤ 및 제19조①·②(위반 게시글 직권 삭제·복구 불가·위반횟수 1회 누적)와 동일한 내용을 화면에서 안내</t>
  </si>
  <si>
    <t>스크롤 시 신고·제재 조항</t>
  </si>
  <si>
    <t>- 아래로 스크롤하면 신고·차단(3명 신고 시 자동 숨김) 및 누적 위반 제재 기준까지 이어진다</t>
  </si>
  <si>
    <t>서비스이용약관 제18조③ · 제20조 누적 위반 제재 기준표와 동일 — "위반 1회: 경고 / 위반 5회: 게시글 작성 3일 제한 / 위반 9회: 게시글 작성 5일 제한 / 위반 10회 이상: 게시글 작성 30일 제한(중대 위반 시 즉시 영구 제한 가능)"</t>
  </si>
  <si>
    <t>인앱 브라우저로 연결되는 외부 회사 사이트</t>
  </si>
  <si>
    <t>- 더보기 &gt; 회사소개 탭 시 이 화면(krste.co.kr)이 시스템 인앱 브라우저로 앱 위에 덮여 열린다 — 주소창이 보이며 좌상단 OS 완료 버튼으로 앱에 복귀(앱을 벗어나지 않고, 앱 전환기에 카드 1개 유지)
- PC에서는 새 탭으로 열린다</t>
  </si>
  <si>
    <t>메인 비주얼(외부 콘텐츠)</t>
  </si>
  <si>
    <t>- 회사 소개 웹사이트의 히어로 배너·스크롤 콘텐츠로, 앱이 아닌 회사 웹사이트가 직접 관리하는 영역
- 스토리보드에서는 진입 동작만 관리 대상이며 내부 콘텐츠 변경은 웹사이트 개편에 따라 별도 반영</t>
  </si>
  <si>
    <t>우상단 메뉴</t>
  </si>
  <si>
    <t>- 외부 사이트 자체 내비게이션(회사소개, 뉴스 등)
- 앱 내 뉴스 기사 링크와 달리, 회사소개는 인앱 브라우저를 유지하고 뉴스 기사는 별도의 브라우저 앱으로 전환되어 앱 전환기에 카드가 2개로 늘어나는 점이 구분 포인트</t>
  </si>
  <si>
    <t>상단 헤더</t>
  </si>
  <si>
    <t>- 뒤로가기 · '알림' 타이틀 · 설정(톱니), 로그인 상태에서만 진입 가능</t>
  </si>
  <si>
    <t>카테고리 필터</t>
  </si>
  <si>
    <t>- '전체' 등 8종 칩, 전환 시 목록 15묶음부터 재로드(이 캡처는 '전체')</t>
  </si>
  <si>
    <t>안읽음 건수 · 모두 읽기 · 모두 지우기</t>
  </si>
  <si>
    <t>- 안읽음 0건이면 [모두 읽기] 비활성, 두 버튼 모두 되돌리기 불가</t>
  </si>
  <si>
    <t>빈 상태 안내 / 목록 영역</t>
  </si>
  <si>
    <t>- 없으면 안내 문구, 있으면 최신순 카드(동일 대상 'N건' 묶음), 탭하면 읽음+펼침
- [자세히 보기]는 화면 이동(체결류는 MY &gt; 내 자산 &gt; 주문 내역), ✕ 개별 삭제, 15묶음씩 추가 로드
- 기기 로컬 저장(500건·90일)+실기기 푸시 전용, PC 환경은 항상 빈 상태</t>
  </si>
  <si>
    <t>체결 알림 이동 대상 변경</t>
  </si>
  <si>
    <t>- 없으면 안내 문구, 있으면 최신순 카드(동일 대상 'N건' 묶음), 탭하면 읽음+펼침
- [자세히 보기]는 화면 이동(체결류는 거래 보유 탭), ✕ 개별 삭제, 15묶음씩 추가 로드
- 기기 로컬 저장(500건·90일)+실기기 푸시 전용, PC 환경은 항상 빈 상태</t>
  </si>
  <si>
    <t>홈·백년가게·거래·MY·더보기 — 별도 진입 화면이라 하이라이트 없음</t>
  </si>
  <si>
    <t>카테고리 필터 (거래·자산 기준)</t>
  </si>
  <si>
    <t>- 트리상 '거래·자산'이나 실제 캡처는 '전체' 상태(0건이라 구분 안 보임)
- 선택 시 체결·부분체결·분배금 알림만 모아 표시, 15묶음부터 재로드</t>
  </si>
  <si>
    <t>- '전체' 화면과 동일 동작, 카테고리 필터와 무관하게 전체 기준으로 처리</t>
  </si>
  <si>
    <t>카테고리별 빈 상태 안내 / 목록 영역</t>
  </si>
  <si>
    <t>- 원래 '{카테고리} 알림이 없어요' 문구여야 하나 이 캡처는 '전체' 기준 문구
- [자세히 보기]로 체결류는 MY &gt; 내 자산 &gt; 주문 내역 이동, 로컬 저장(500건·90일)이라 PC 환경은 항상 빈 상태</t>
  </si>
  <si>
    <t>- 원래 '{카테고리} 알림이 없어요' 문구여야 하나 이 캡처는 '전체' 기준 문구
- [자세히 보기]로 체결류는 거래 보유 탭 이동, 로컬 저장(500건·90일)이라 PC 환경은 항상 빈 상태</t>
  </si>
  <si>
    <t>헤더 · 검색 입력창</t>
  </si>
  <si>
    <t>- ← 뒤로가기 + 검색 입력창(자동 포커스, placeholder '가게명·종목명을 검색해 보세요') + 입력 지우기(X)
- 홈·백년가게(탐색)·거래 1뎁스 화면의 검색 영역을 탭하면 진입한다(R-07)
- 비로그인도 사용 가능</t>
  </si>
  <si>
    <t>최근 검색어</t>
  </si>
  <si>
    <t>- 최근 검색어 칩 최대 10개(최신순), 칩 개별 삭제(X)·[전체 삭제]
- 기기 로컬 저장. 로그아웃 시 삭제 여부는 확인 필요
- 칩 탭 → 해당 검색어로 결과 화면(S151) 이동</t>
  </si>
  <si>
    <t>추천 목록</t>
  </si>
  <si>
    <t>- 입력 전에는 '가장 많이 찜한 종목'·'최근 상장 종목' 등 추천 목록을 노출한다(노출 기준은 기획 확정 필요)
- 항목 탭 → 종목 상세 / 가게 상세</t>
  </si>
  <si>
    <t>자동완성</t>
  </si>
  <si>
    <t>- 입력 후 300ms 디바운스로 가게명·종목명 자동완성 목록을 노출하고 일치 글자를 강조한다
- 항목 탭 → 종목이면 종목 상세, 가게면 가게 상세로 바로 이동
- 키보드 [검색] 또는 [전체 결과 보기] → 검색 결과(S151)</t>
  </si>
  <si>
    <t>검색창 · 종목/가게 세그먼트</t>
  </si>
  <si>
    <t>- 검색어가 채워진 검색창(탭하면 S150 편집 상태). 하단에 세그먼트 [종목 N] [가게 N](R-03)
- 기본 선택 탭은 진입 경로에 따라 다르다: 홈·거래 → 종목, 백년가게 → 가게</t>
  </si>
  <si>
    <t>종목 결과</t>
  </si>
  <si>
    <t>- 종목 카드는 거래 종목 목록과 동일한 구성(가게명·종목명·현재가·등락률·[주문]·관심 하트)
- 상장폐지 종목은 제외
- 카드 탭 → 종목 상세, [주문] → 종목 상세 주문 탭(로그인은 제출 시점에 확인)</t>
  </si>
  <si>
    <t>가게 결과</t>
  </si>
  <si>
    <t>- 가게 카드는 백년가게 목록과 동일한 구성(이미지·가게명·카테고리·지속연도·주소·관심 하트)
- 카드 탭 → 가게 상세(정보 탭)</t>
  </si>
  <si>
    <t>결과 없음 · 로드 방식</t>
  </si>
  <si>
    <t>- 종목·가게 모두 0건이면 '검색 결과가 없어요' + 다른 검색어 안내, 한쪽만 0건이면 해당 탭에만 빈 상태를 표시한다
- 결과는 관련도순, 10건 단위 무한 스크롤. v1에서는 정렬·필터를 제공하지 않는다
- 비상장 백년가게를 검색 대상에 포함할지는 확인 필요(포함 시 '상장 제안' 진입 링크 제공)</t>
  </si>
  <si>
    <t>공통 규칙 (R-01 ~ R-12) — 기능정의 상세와 디자인 프롬프트에서 참조</t>
  </si>
  <si>
    <t>규칙ID</t>
  </si>
  <si>
    <t>규칙명</t>
  </si>
  <si>
    <t>내용</t>
  </si>
  <si>
    <t>적용 화면ID</t>
  </si>
  <si>
    <t>R-01</t>
  </si>
  <si>
    <t>화면 유형 기준</t>
  </si>
  <si>
    <t>전체 페이지(push): 독립 콘텐츠 열람·작성, 긴 문서, 결과 화면, 딥링크 필요 / 바텀시트: 현재 맥락 유지 + 짧은 선택·확인·요약(복수 조건 필터, 기간 선택, 주문 확인·상세, 계좌 변경, 계산기, 신고, 짧은 고지) / 팝업(앵커형): 목록의 단일 선택 정렬·필터 — 트리거 바로 아래에 뜨는 작은 카드 / 다이얼로그(중앙): 예·아니오 확인, 오류, 로그인 안내 / 토스트: 결과 통지. 오버레이 형태 상세와 전문 팝업은 사용하지 않는다.</t>
  </si>
  <si>
    <t>S027, S029, S032~S042, S050, S057, S064, S069, S083, S084, S126, S136, S152, S079, S116, S122, S149(팝업)</t>
  </si>
  <si>
    <t>R-02</t>
  </si>
  <si>
    <t>정렬 팝업 · 필터 바텀시트</t>
  </si>
  <si>
    <t>정렬만 있는 경우(또는 단일 선택 1개 섹션) = 정렬·필터 팝업: 트리거(정렬명+▾) 바로 아래에 뜨는 작은 카드, 현재 선택에 체크, 항목 탭 시 즉시 적용·닫힘(적용 버튼 없음), 바깥 탭·뒤로가기로 닫힘, 딤 없음. 복수 섹션 또는 복수 선택 필터·기간 선택 = 필터 바텀시트(핸들·타이틀·X·섹션+칩·하단 [초기화][적용]). 목록 상단 행: 좌 '총 N건', 우 [정렬 트리거(텍스트+▾)] [필터 아이콘(바텀시트가 있는 목록만, 적용 시 점 배지)]. 네이티브 select 드롭다운 사용 금지. 폼 입력 항목의 옵션 선택(직업·거래목적 등)은 기존 바텀시트를 유지한다.</t>
  </si>
  <si>
    <t>팝업: S022, S078, S079, S087(정렬), S092, S116, S121, S122, S149 / 바텀시트: S015, S077, S087(필터), S088, S090(기간)</t>
  </si>
  <si>
    <t>R-03</t>
  </si>
  <si>
    <t>탭·세그먼트 위계</t>
  </si>
  <si>
    <t>2뎁스(화면 주 탭)=언더라인 탭, 3뎁스(같은 화면 보기 전환)=세그먼트, 필터=칩(+복수 조건이면 바텀시트). 구매/판매/대기는 세그먼트 형태에 의미색만 예외.</t>
  </si>
  <si>
    <t>S022, S075, S087, S092, S113, S151</t>
  </si>
  <si>
    <t>R-04</t>
  </si>
  <si>
    <t>'[증권사] 한국ST거래증권 ····1234 ⌄' 단일 컨트롤. 탭 → 계좌 변경 바텀시트(S089). 1개 계좌=chevron 없는 읽기 전용, 미연결=[계좌 연결하기]. 라벨 칩·(?)·[계좌변경 &gt;] 삭제. 연도 뱃지는 연도 셀렉터로 교체. 계좌 관리 메뉴 삭제(내 자산 계좌 셀렉터가 유일한 진입점).</t>
  </si>
  <si>
    <t>S075, S087, S089, S090, S091, S112, S140</t>
  </si>
  <si>
    <t>R-05</t>
  </si>
  <si>
    <t>주문 카드 표기·필터</t>
  </si>
  <si>
    <t>수량 단위는 '개'. 미체결 '미체결 N개' / 부분체결 '체결 N개 · 미체결 M개' / 체결완료 '체결 N개' / 취소 '취소 N개' / 부분체결 후 취소·만료 '체결 N개 · 취소 M개'. 수정·취소 아이콘은 미체결 잔량이 있는 카드에만 노출(부분체결 포함). 필터는 수량 기반 포함 관계: 미체결=잔량 있는 모든 주문, 체결=체결 수량 있는 모든 주문. 카드 탭 → 주문 상세 시트(체결 건별 내역).</t>
  </si>
  <si>
    <t>S043, S075, S077, S088, S140, S152</t>
  </si>
  <si>
    <t>R-06</t>
  </si>
  <si>
    <t>AI매칭 예상 체결 내역</t>
  </si>
  <si>
    <t>명칭 '예상 체결 내역'. 수량 입력 전부터 고정 높이 영역으로 상시 노출, 입력 시 실시간 갱신(예상 평균 체결가·총 주문금액·체결 가능 수량), [자세히]로 호가 구간별 내역, 체결 불가·일부 가능은 영역 내 인라인 안내. 링크·chevron·자동 펼침 삭제.</t>
  </si>
  <si>
    <t>S034, S040, S052~S056, S060, S066~S068</t>
  </si>
  <si>
    <t>R-07</t>
  </si>
  <si>
    <t>홈·백년가게(탐색)·거래 1뎁스에만 노출(MY·더보기·알림·하위 화면 제외). 필드는 진입 버튼이며 탭 → 검색 홈(S150) → 결과(S151, 세그먼트 종목|가게). 로그인 불필요.</t>
  </si>
  <si>
    <t>S012, S015, S023, S150, S151</t>
  </si>
  <si>
    <t>R-08</t>
  </si>
  <si>
    <t>MY 허브·비로그인 미리보기</t>
  </si>
  <si>
    <t>MY 메인은 스크롤 허브(프로필 → 내 자산 → 관심 → 활동 → 내 정보·자격 신청). 비로그인은 로그인 화면으로 바로 보내지 않고 가치 안내 + 흐린 카드 프리뷰를 보여준다.</t>
  </si>
  <si>
    <t>S112, S113</t>
  </si>
  <si>
    <t>R-09</t>
  </si>
  <si>
    <t>재인증 규칙</t>
  </si>
  <si>
    <t>재인증은 '내 정보' 진입에만 적용. 유효 5분, 앱이 백그라운드로 가거나 시간이 지나면 초기화('탭 이동 즉시 초기화' 규칙 삭제). 내 정보 하위 화면 왕복은 재인증 생략. MY 허브 요약(등급·투자성향 칩·자격 상태·내 자산)은 게이트 밖. 휴대폰·비밀번호 변경은 본인인증(MOK)을 추가하고 이유를 안내한다.</t>
  </si>
  <si>
    <t>S093, S112, S123</t>
  </si>
  <si>
    <t>R-10</t>
  </si>
  <si>
    <t>투자성향 칩 상태</t>
  </si>
  <si>
    <t>미실시 / 유효(유형명·만료월) / 만료 임박(D-30 이내, D-N 표시) / 만료(경고색, 재실시 안내). 칩 탭: 유효·임박=결과 화면, 미실시·만료=안내 다이얼로그 후 설문. 최신 결과·인정기간·재분석은 내 정보 &gt; 투자 성향 분석. 이력 목록은 다음 단계.</t>
  </si>
  <si>
    <t>S101, S102, S112</t>
  </si>
  <si>
    <t>R-11</t>
  </si>
  <si>
    <t>투자자 자격 상태</t>
  </si>
  <si>
    <t>정본 화면은 MY &gt; 내 정보 &gt; 투자자 자격 신청(S124) 1개. 상태: 미신청 / 심사 중(재신청 차단) / 승인(만료일, 만료 30일 전 갱신) / 반려(사유) / 만료. 진입점: MY 허브 행, 더보기 조건부 배너, 거래 한도 [한도 늘리기], 한도 초과 안내. 제출 서류는 결과 화면에 보여주지 않는다. 명칭은 '투자자 자격 신청', 상세 화면 내 법령명칭(소득적격투자자) 병기.</t>
  </si>
  <si>
    <t>S091, S093, S112, S124, S125, S126, S127</t>
  </si>
  <si>
    <t>R-12</t>
  </si>
  <si>
    <t>관심 아이콘·용어 통일</t>
  </si>
  <si>
    <t>관심 표시는 앱 전체에서 하트(♡/♥). 북마크·스크랩 아이콘 사용 금지. 용어: '이벤트'(이벤트·혜택 아님), '손익 현황'(나의 수익 아님), '예상 체결 내역'(주문예정내역 아님), '내 정보'(내정보 아님), '약관 및 정책'(정책 아님).</t>
  </si>
  <si>
    <t>S012, S022, S087, S092, S127, S142</t>
  </si>
  <si>
    <t>확인이 필요한 항목 (v2 신규·변경 관련)</t>
  </si>
  <si>
    <t>v1의 '화면구분 추정' 항목은 메뉴구조 시트 O열(확인 필요)에 그대로 이어받았습니다.</t>
  </si>
  <si>
    <t>No</t>
  </si>
  <si>
    <t>대상 화면</t>
  </si>
  <si>
    <t>확인 내용</t>
  </si>
  <si>
    <t>확인 주체(제안)</t>
  </si>
  <si>
    <t>확인-01</t>
  </si>
  <si>
    <t>S023 거래 &gt; 종목</t>
  </si>
  <si>
    <t>2Depth '전체'를 '종목'으로 변경하고 세그먼트를 제거했습니다. 탭 이름 자체를 '종목'으로도 바꿀지 확인이 필요합니다.</t>
  </si>
  <si>
    <t>기획</t>
  </si>
  <si>
    <t>확인-02</t>
  </si>
  <si>
    <t>S087 내 자산 &gt; 거래 한도</t>
  </si>
  <si>
    <t>거래 한도 화면은 기존에 계좌 게이트가 없어 미연결 상태에서도 0원으로 보였습니다(U-09). 내 자산 탭으로 옮기면서 동일하게 게이트를 적용할지 결정이 필요합니다.</t>
  </si>
  <si>
    <t>기획·개발</t>
  </si>
  <si>
    <t>확인-03</t>
  </si>
  <si>
    <t>S102 투자 성향 분석</t>
  </si>
  <si>
    <t>'이력 관리'를 과거 결과 목록까지 뜻하는지 확인이 필요합니다. 이번 v2에는 최신 결과·인정기간만 반영했고 이력 목록은 다음 단계로 뒀습니다.</t>
  </si>
  <si>
    <t>확인-04</t>
  </si>
  <si>
    <t>S102 재실시 정책</t>
  </si>
  <si>
    <t>[다시 분석하기] 도중 이탈 시 기존 결과를 유지하고, 6문항 완료 시점에 교체하는 정책으로 정의했습니다. 확정이 필요합니다.</t>
  </si>
  <si>
    <t>기획·컴플라이언스</t>
  </si>
  <si>
    <t>확인-05</t>
  </si>
  <si>
    <t>S124 반려 사유</t>
  </si>
  <si>
    <t>반려 사유 문구가 소득 정보와 연결될 수 있어 노출 수준을 컴플라이언스와 확인해야 합니다.</t>
  </si>
  <si>
    <t>컴플라이언스</t>
  </si>
  <si>
    <t>확인-06</t>
  </si>
  <si>
    <t>S150·S151 검색</t>
  </si>
  <si>
    <t>최근 검색어의 로그아웃 시 삭제 여부, 추천 목록 노출 기준, 비상장 백년가게를 검색 대상에 포함할지 확정이 필요합니다.</t>
  </si>
  <si>
    <t>확인-07</t>
  </si>
  <si>
    <t>S015 백년가게 검색</t>
  </si>
  <si>
    <t>'내 주변'(지도)·'백년가게란?' 탭에서는 검색 영역을 노출하지 않도록 정의했습니다. 지도에서도 검색이 필요한지 확인이 필요합니다.</t>
  </si>
  <si>
    <t>기획·디자인</t>
  </si>
  <si>
    <t>확인-08</t>
  </si>
  <si>
    <t>S055 AI매칭</t>
  </si>
  <si>
    <t>일부 수량만 체결 가능한 경우 '[M개로 조정]' 버튼은 제안 사항입니다. 도입 여부 결정이 필요합니다.</t>
  </si>
  <si>
    <t>확인-09</t>
  </si>
  <si>
    <t>S088 부분체결 카드</t>
  </si>
  <si>
    <t>'체결률 바·평균 체결가'와 '부분체결 후 취소·만료' 상태 배지 명칭(체결완료로 부르면 전량 체결로 오해될 수 있음)은 제안 사항입니다. 확정이 필요합니다.</t>
  </si>
  <si>
    <t>확인-10</t>
  </si>
  <si>
    <t>S128 이용안내</t>
  </si>
  <si>
    <t>이용안내 탭 4종(계좌연결/거래시작/가디언이란?/가디언혜택)과 홈 빠른 안내 카드 4종(백년가게란/주문방법/가디언이란/가디언혜택)의 이름·구성이 다르고 콘텐츠가 모두 '준비 중'입니다. 출시 전 정리가 필요합니다.</t>
  </si>
  <si>
    <t>기획·콘텐츠</t>
  </si>
  <si>
    <t>확인-11</t>
  </si>
  <si>
    <t>딥링크·URL</t>
  </si>
  <si>
    <t>/trade?tab=holding 등 거래 탭 하위 경로와 /my/activity 직접 진입 경로는 새 경로로 리다이렉트가 필요합니다. 개발 확인이 필요합니다.</t>
  </si>
  <si>
    <t>개발</t>
  </si>
  <si>
    <t>확인-12</t>
  </si>
  <si>
    <t>S127 더보기 배너</t>
  </si>
  <si>
    <t>비로그인 상태에서는 투자자 자격 신청 배너를 숨기도록 정의했습니다. 가입 유도용으로 노출할지 확인이 필요합니다.</t>
  </si>
  <si>
    <t>확인-13</t>
  </si>
  <si>
    <t>R-02 정렬 팝업 형태</t>
  </si>
  <si>
    <t>'정렬만 있으면 팝업'을 트리거 아래에 뜨는 앵커형 작은 팝업(항목 탭 즉시 적용)으로 정의했습니다. 화면 중앙 다이얼로그 형태를 의도하셨다면 R-01·R-02 문구만 바꾸면 됩니다.</t>
  </si>
  <si>
    <t>확인-14</t>
  </si>
  <si>
    <t>S023 거래 목록</t>
  </si>
  <si>
    <t>필터 아이콘·바텀시트를 없애고 '정렬 팝업 + ♡관심만 칩'으로 정의했습니다. 향후 업종 등 복수 조건 필터가 필요해지면 바텀시트를 다시 추가합니다.</t>
  </si>
  <si>
    <t>디자인 수정 프롬프트 (Google Stitch용, v2 기준)</t>
  </si>
  <si>
    <t>같은 내용이 별도 파일(한국ST거래_디자인프롬프트_v2.md)에도 있습니다. 복사는 md 파일을 권장합니다(여기서는 셀 높이 제한 때문에 문단 단위로 행을 나눴습니다). 프롬프트는 엑셀 없이도 쓸 수 있도록 값과 규칙을 본문에 넣었습니다.</t>
  </si>
  <si>
    <t>구분</t>
  </si>
  <si>
    <t>프롬프트</t>
  </si>
  <si>
    <t>0. 사용 순서</t>
  </si>
  <si>
    <t>[Stitch 사용 순서]
1. 새 프로젝트에서 플랫폼을 'Mobile'로 선택합니다. 이미지 입력이 가능한 모드에서는 기존 캡처(Git images 폴더의 해당 번호 PNG)를 참고 이미지로 함께 올립니다.
2. 아래 'DESIGN.md' 블록을 프로젝트의 DESIGN.md(디자인 시스템)에 붙여 넣습니다. 지원되지 않으면 각 프롬프트 맨 앞에 붙입니다.
3. 프롬프트는 한 번에 화면 1~3개씩 입력합니다(Stitch는 여러 화면을 요청하면 목록 확인 후 생성하고, 한 번에 6개까지만 생성합니다).
4. 생성 후 화면을 선택해 '수정 프롬프트'로 다듬습니다. 여러 화면에 같은 수정을 적용할 때는 Shift로 다중 선택합니다.
5. 프롬프트의 화면ID(S###)는 엑셀 v2의 화면ID와 같습니다. 프레임 이름에 그대로 쓰면 기능정의와 맞추기 쉽습니다.
6. 프롬프트 안의 값은 예시 데이터입니다(기존 캡처의 샘플 값 사용).</t>
  </si>
  <si>
    <t>0. DESIGN.md (공통)</t>
  </si>
  <si>
    <t># 한국ST거래 Design System (v2)</t>
  </si>
  <si>
    <t>## 플랫폼·톤
- Mobile app, 390×844, 라이트 모드 1종, 한국어(해요체). 신뢰감 있고 차분한 금융 앱, 전통 음식점 가게를 다루는 따뜻한 느낌은 일러스트·아이콘 톤으로만 살짝.</t>
  </si>
  <si>
    <t>## 색 (기존 캡처에서 눈대로 가져온 근사값 — 원본과 대조해 보정)
- Primary: 진한 남색 #2E2A6B (주요 버튼, 선택된 탭·칩)
- 배경 #FFFFFF / 섹션 배경 #F5F5F7 / 카드 배경 #FAFAFA + 1px #E5E5EA
- 칩·비활성 버튼 배경: 연한 라벤더 #EFEFF6
- 강조 링크: 골드 #B8860B
- 상승·매수·구매: 빨강 #E5162B / 하락·매도·판매: 파랑 #2C6FE0 (한국 금융 관습)
- 텍스트 #1A1A1A, 보조 텍스트 #8A8A8E</t>
  </si>
  <si>
    <t>## 형태
- 카드 라운드 16, 버튼 라운드 12, 칩·세그먼트 라운드 999. 8pt 간격. 터치 영역 최소 44px.
- 서체: Pretendard 계열 산세리프. 숫자는 굵게, 금액은 천 단위 쉼표+'원'.</t>
  </si>
  <si>
    <t>## 컴포넌트 규칙 (모든 화면에서 동일하게)
- 2뎁스 탭: 언더라인 탭(활성=진한 텍스트+2px 남색 밑줄). 3뎁스 보기 전환: 세그먼트(회색 트랙 위 활성 항목만 흰 카드, 높이 36).
- 정렬(단일 선택)·단일 선택 필터: 트리거(정렬명+▾) 아래에 뜨는 작은 팝업 카드, 선택 항목에 체크, 탭 즉시 적용. 복수 섹션·복수 선택 필터·기간 선택: 바텀시트(핸들·타이틀·X·섹션별 칩·하단 [초기화][적용]).
- 드롭다운 select, 깔때기 아이콘으로 정렬을 여는 방식은 쓰지 않는다.
- 짧은 확인·요약은 바텀시트, 독립 콘텐츠·결과 화면은 전체 페이지(← 뒤로가기 + 제목), 예/아니오 확인은 중앙 다이얼로그. 우측 X로 닫는 오버레이 상세는 쓰지 않는다.
- 관심 표시는 하트(♡/♥)만. 북마크·스크랩 아이콘 금지.
- 계좌 표기는 '[증권사 로고] 한국ST거래증권 ····1234 ⌄' 단일 셀렉터 1종(라벨 칩·(?)·[계좌변경 &gt;] 금지).
- 모든 목록 화면에 로딩(스켈레톤)·빈 상태·오류 상태를 함께 고려한다.</t>
  </si>
  <si>
    <t>## 금지
- 새로운 색·아이콘 스타일 추가, 투자 권유·수익 보장으로 읽히는 문구, 이미지 생성.</t>
  </si>
  <si>
    <t>요청 1-A. 컴포넌트 스타일 시트</t>
  </si>
  <si>
    <t>Mobile 스타일 가이드 화면 2장을 디자인해 주세요. 앱: 한국ST거래(투자계약증권 유통 앱). DESIGN.md의 색·형태를 그대로 사용합니다.</t>
  </si>
  <si>
    <t>[화면 1: 내비게이션·필터 컴포넌트]
위에서 아래 순서로:
1. 섹션 제목 '2뎁스 탭 — 언더라인': 탭 6개(정보/주문/호가/차트/내 주문/커뮤니티) 가로 스크롤, '주문'이 활성
2. 섹션 제목 '3뎁스 세그먼트': [관심종목][관심가게] 2분할, [게시글][댓글] 2분할, 그리고 의미색 예외 [구매][판매][대기](구매 활성=빨강 채움)
3. 섹션 제목 '칩': 활성/비활성 필터 칩 4개(전체/공지/소식/이벤트)
4. 섹션 제목 '정렬 팝업(단일 선택)': 목록 상단 행(좌 '총 50건', 우 '많이 오른순 ▾')과, 트리거 아래로 열린 작은 팝업 카드(많이 오른순✓ · 거래량 많은순 · 거래대금 높은순 · 시가총액 높은순 · 최근 상장순 · 가나다순), 딤 없음
5. 섹션 제목 '필터 바텀시트(복수 조건)': 하단에서 올라온 시트 — 핸들, 타이틀 '필터', 우측 X, 섹션 '주문상태' 칩(전체✓/미체결/체결/취소·만료), 섹션 '구매/판매' 칩(전체✓/구매/판매), 하단 고정 버튼 [초기화](라벤더) [적용](남색)
Do not include: 드롭다운 select, 깔때기 아이콘.</t>
  </si>
  <si>
    <t>[화면 2: 컨테이너 컴포넌트]
1. '페이지 헤더': ← 뒤로가기 + 가운데 제목 '공시'
2. '바텀시트': 핸들, 타이틀 '구매 주문 확인', 우측 X, 본문 3행, 하단 [취소][구매하기]
3. '다이얼로그(중앙)': 제목 '주문을 취소할까요?', 본문 1줄, [닫기][주문 취소]
4. '토스트': '변경되었어요.'
5. '하트 관심 아이콘' 채움/비채움 2상태</t>
  </si>
  <si>
    <t>요청 1-B. 적용 화면 (스타일 통일)</t>
  </si>
  <si>
    <t>아래 화면을 DESIGN.md의 컴포넌트 규칙에 맞게 각각 Mobile로 디자인해 주세요(참고 이미지가 있으면 구조를 유지하고 스타일만 통일).</t>
  </si>
  <si>
    <t>[S023 거래 — 종목 목록] 위에서 아래로: 헤더(왼쪽 '거래', 오른쪽 프로필 원형 '하', 알림 벨), 검색 필드(돋보기+'가게명·종목명을 검색해 보세요'), 목록 상단 행(좌 정렬 트리거 '많이 오른순 ▾', 우 '♡ 관심만' 토글 칩), 종목 카드 5개(원형 가게 아이콘, 가게명 작게, 종목명 굵게: '노을다반 서귀포 리모델링 1호' 5,700원 +14.0% 빨강, '고요한상 안동 리모델링 1호' 5,900원 +68.5%, '온정분식 종로 리모델링 1호' 5,000원 0.0%, 우측에 [주문] 버튼과 하트), 하단 탭바 5개(홈/백년가게/거래[활성]/MY/더보기). 필터 아이콘은 넣지 않습니다.
[S023-정렬 열림] 같은 화면에서 정렬 트리거 아래로 정렬 팝업 카드가 열린 상태(6개 항목, '많이 오른순' 체크).
[S075 종목상세 내 주문] 헤더(← '서귀포 리모델링 1호' 5,700원 +14.0%, 하트), 언더라인 탭 6개('내 주문' 활성), 계좌 셀렉터 행, 나의 평가금 카드, 목록 상단 행(우측 필터 아이콘 — 바텀시트가 있는 목록), 주문 카드 3개, 하단 고정 [판매하기][구매하기].</t>
  </si>
  <si>
    <t>요청 2-A. 홈 + 검색 영역</t>
  </si>
  <si>
    <t>Mobile 화면 1개: 한국ST거래 앱의 '홈'(S012). 위에서 아래로:
1. 헤더: 좌측 로고 텍스트 '한국ST거래', 우측 프로필 원형 아이콘과 알림 벨
2. 검색 영역(새로 추가): 헤더 바로 아래 전체 폭 필드, 높이 44, 라운드 999, 배경 라벤더, 돋보기 아이콘 + 회색 placeholder '가게명·종목명을 검색해 보세요'. 입력 필드가 아니라 탭하면 검색 화면으로 넘어가는 버튼처럼 보여야 함
3. 메인 배너 캐러셀(페이지 표시 '1/2')
4. 빠른 안내 원형 카드 4개(백년가게란/주문방법/가디언이란/가디언혜택)
5. 섹션 '가디언 픽' 종목 카드 가로 스크롤(가게명, 종목명, 현재가, 등락률, [주문], 하트)
6. 섹션 '지금 가장 핫한 가게' 대형 카드 — 우측 상단에 하트 관심 아이콘(북마크 금지)
7. 섹션 '이벤트' (제목은 '이벤트·혜택'이 아니라 '이벤트')
8. 하단 탭바 5개(홈 활성)
검색 영역은 화면 스크롤과 함께 위로 사라지고, 다른 콘텐츠가 접힘선 아래로 과하게 밀리지 않도록 간격을 조정.</t>
  </si>
  <si>
    <t>요청 2-B. 검색 홈 / 검색 결과</t>
  </si>
  <si>
    <t>Mobile 화면 4개를 디자인해 주세요.</t>
  </si>
  <si>
    <t>[S150-a 검색 홈] 상단: ← 뒤로가기 + 입력창(포커스 상태, 커서, 우측 지우기 X, placeholder '가게명·종목명을 검색해 보세요'). 아래: '최근 검색어' 제목과 우측 텍스트 [전체 삭제], 칩 5개(각 칩 우측에 작은 X): 서귀포, 고요한상, 리모델링 1호, 분점개설, 화덕담. 그 아래 '많이 찜한 종목' 리스트 3행(순위 번호, 원형 아이콘, 가게명/종목명, 현재가·등락률).
[S150-b 자동완성] 입력창에 '서귀' 입력 상태. 아래에 자동완성 리스트 4행(일치 글자 남색 굵게 강조, 종목/가게 구분 라벨 칩), 맨 아래 [전체 결과 보기].
[S151-a 결과 — 종목] 상단 검색창(검색어 '리모델링'), 세그먼트 [종목 12][가게 3](종목 활성), 종목 카드 4개(가게명, 종목명, 현재가, 등락률, [주문], 하트).
[S151-b 결과 없음] 검색어 '피자', 세그먼트 [종목 0][가게 0], 가운데 빈 상태 일러스트 + '검색 결과가 없어요' + '다른 검색어로 찾아보세요' + 텍스트 링크 '내 주변 지도에서 가게 찾기'.
Do not include: 필터·정렬 UI(이번 버전에서는 없음).</t>
  </si>
  <si>
    <t>요청 3. 상세 진입 방식 통일 (시트/페이지/다이얼로그)</t>
  </si>
  <si>
    <t>같은 주문 흐름을 3장의 Mobile 화면으로 이어서 디자인해 주세요. 진입 방식을 통일합니다: 주문 확인=바텀시트, 주문 완료=전체 페이지, 취소 확인=중앙 다이얼로그.</t>
  </si>
  <si>
    <t>[S032 주문 확인 — 바텀시트] 배경은 주문 화면(구매 폼, 어둡게 딤 처리). 하단에서 올라온 시트: 핸들, 우측 X, 작은 글씨 '노을다반', 종목명 '서귀포 리모델링 1호', 타이틀 '1개 구매주문'. 표 3행: 개당 금액 4,900원 / 주문 수량 1개 / 총 주문금액 4,900원. 하단 고정 [취소](라벤더) [구매하기](빨강).
[S033 주문 완료 — 전체 페이지] 헤더 ← 뒤로가기 + 제목 '주문 완료'. 가운데 체크 아이콘, '구매 주문완료', 종목명, 표 3행(개당 금액/주문 수량/총 구매금액), 안내 '접수 완료이며 체결을 보장하지 않아요. 미체결 주문은 30일간 유효해요.' 하단 [닫기](라벤더) [주문내역](남색).
[다이얼로그] 화면 중앙 카드, 제목 '주문을 취소할까요?', 본문 '취소하면 잠긴 금액이 바로 풀려요.', 버튼 [닫기] [주문 취소](빨강).
+ 추가 화면 [S027 공시 상세 — 전체 페이지] 헤더 ← + '공시'(우측 X 오버레이 금지), 제목 '이익배분내역보고서 제2차', 날짜 2028.12.14, 본문 표(분배 기준일, 지급예정일, 분배 대상 수량 33,600개, 개당 분배금 세전 907원), 하단 첨부파일 1개.</t>
  </si>
  <si>
    <t>요청 4. AI매칭 '예상 체결 내역' (5상태)</t>
  </si>
  <si>
    <t>Mobile 주문 화면(구매, AI매칭 모드) 5개 상태를 디자인해 주세요. 종목: 서귀포 리모델링 1호(노을다반), 현재가 5,700원.
공통 구조(위에서 아래): 헤더(← 종목명 현재가 등락률, 하트), 언더라인 탭 6개('주문' 활성), 구매/판매/대기 세그먼트('구매' 빨강 활성), 카드 '구매 희망가 | AI매칭 ⓘ'에 회색 placeholder '가장 유리한 가격으로 주문', 카드 '수량'(주문가능 59,965,487원 ⓘ), 그 아래 '예상 체결 내역' 영역(항상 보이는 고정 높이 카드, 링크·버튼·chevron이 우측에 떠 있지 않음), 비율 버튼 4개(10%/25%/50%/최대)는 별도 행, 숫자 키패드, 하단 [입력완료]. 영역 하단에 작은 회색 문구 '투자 권유가 아니며 실제 체결가는 접수 시점 호가에 따라 달라질 수 있어요.'
[상태 1 입력 전] 수량 비어 있음. 예상 체결 내역 영역에 회색 안내 '수량을 입력하면 예상 체결 내역을 보여드려요'.
[상태 2 체결 가능] 수량 3개. 영역에 예상 평균 체결가 5,300원, 예상 총 주문금액 15,900원, 체결 가능 3개, 우측 아래 텍스트 버튼 [자세히 ▾].
[상태 3 자세히 펼침] 상태 2에서 같은 영역 안이 펼쳐져 호가 구간별 표(개당금액/수량/금액) 2행 표시. 화면 전체가 밀려 내려가지 않고 영역 높이만 늘어남.
[상태 4 체결 불가] 수량 500개. 영역에 인라인 안내 '지금 바로 체결할 수 있는 호가가 없어요' + 텍스트 버튼 [구매 희망가로 주문하기]. 하단 [구매하기] 비활성.
[상태 5 일부 체결 가능] 수량 20개. 영역에 '요청 20개 중 12개 체결 가능' + 버튼 [12개로 조정].
Do not include: '주문예정내역'이라는 이름, 골드색 밑줄 링크.</t>
  </si>
  <si>
    <t>요청 5. 계좌 셀렉터</t>
  </si>
  <si>
    <t>Mobile 화면 3개를 디자인해 주세요. 앱 전체에서 계좌 표시는 '계좌 셀렉터' 1종만 씁니다.</t>
  </si>
  <si>
    <t>[컴포넌트 3상태 시트] 한 화면에 3행: (a) 연동 계좌 2개 이상 — '[증권사 로고] 한국ST거래증권 ····1234 ⌄' 탭 가능한 컨트롤 (b) 연동 계좌 1개 — 같은 모양이지만 chevron 없이 텍스트만 (c) 계좌 미연결 — 남색 [계좌 연결하기] 버튼. 라벨 모양 칩, (?) 아이콘, 별도 [계좌변경 &gt;] 알약은 금지.
[S087 내 자산 — 보유 탭] 헤더(← '내 자산', 알림 벨), 언더라인 탭 4개(보유 활성/주문 내역/손익 현황/거래 한도), 공통 헤더 카드: 계좌 셀렉터, '나의 평가금' 3,803,000원, 손익 +370,372 (10.7%) 빨강, '계좌잔고' 59,538,164원 ⌄. 목록 상단 행(좌 '총 9건', 우 정렬 트리거 '평가금 높은순 ▾', 필터 아이콘), 보유 종목 카드 3개(가게 아이콘, 가게명, 종목명, 개당 평균단가·보유수량, 현재가·등락률).
[S089 계좌 변경 — 바텀시트] 배경은 내 자산 화면(딤). 시트 타이틀 '기본 거래 계좌 설정', 우측 X, 안내문 '주문은 기본 계좌로만 가능해요. 다른 계좌로 거래하려면 기본 계좌를 변경해주세요.', 현재 기본 계좌 카드(체크, 마스킹 번호), 섹션 '거래 계좌 추가'와 미연결 증권사 카드 2개(연계정보 동의 체크박스, 비활성 [계좌 연결하기]), 하단 [완료].
+ 추가 화면 [S090 손익 현황]: 같은 공통 헤더, 탭 '손익 현황' 활성, 수익 요약 카드(확정 수익 3,795원 / 분배 수익 0원)와 우측 연도 셀렉터 '2026년 ⌄'(탭하면 단일 선택 팝업), 기간 '2026.08 ~ 2026.09 ▾', 내역 카드 3개. 증권사 뱃지는 넣지 않습니다.</t>
  </si>
  <si>
    <t>요청 6-A. MY 허브 (로그인 / 비로그인)</t>
  </si>
  <si>
    <t>Mobile 화면 3개를 디자인해 주세요. MY는 탭이 없는 세로 스크롤 허브입니다.</t>
  </si>
  <si>
    <t>[S112-a 로그인·계좌 연결] 헤더 좌측 'MY', 우측 설정 톱니·알림 벨. 위에서 아래로: (1) 얇은 프로필 카드: [일반] 뱃지 + 닉네임 '하늘', 우측 투자성향 칩 '위험중립형 · ~2028.09' (2) 내 자산 카드: 계좌 셀렉터, '나의 평가금' 3,803,000원, 손익 +370,372 (10.7%), 계좌잔고, 하단 바로가기 4개 [보유종목 9][주문 내역][손익 현황][거래 한도] (3) 관심 카드: '관심종목 10 · 관심가게 2' (4) 나의 활동: 커뮤니티 '내가 쓴 글 3건', 문의내역 '전체 1건 · 답변대기 1건'(답변대기 빨강) (5) 목록 행: '내 정보'(자물쇠 아이콘, 재인증 필요 표기), '투자자 자격 신청'(우측 '신청 가능' 상태 텍스트). 하단 탭바(MY 활성).
[S112-b 투자성향 칩 4상태] 프로필 카드 4개를 세로로: 미실시(강조색 칩 '투자성향, 지금 확인해요') / 유효('위험중립형 · ~2028.09') / 만료 임박('위험중립형 · D-20', 주황) / 만료('재실시가 필요해요', 경고색).
[S112-c 비로그인 미리보기] 로그인 화면으로 넘기지 않고, 상단 큰 카드 '로그인하면 내 자산과 관심 가게를 모아볼 수 있어요' + [로그인](남색) [회원가입](라벨), 아래에 내 자산·관심·활동 카드가 흐리게(잠금 표시) 미리보기로 보임. 하단 탭바 정상.</t>
  </si>
  <si>
    <t>요청 6-B. 내 자산 — 주문 내역 / 주문 상세</t>
  </si>
  <si>
    <t>Mobile 화면 3개를 디자인해 주세요.</t>
  </si>
  <si>
    <t>[S088 내 자산 — 주문 내역 탭] 공통 헤더(← '내 자산', 4탭 중 '주문 내역' 활성, 계좌 셀렉터·나의 평가금·계좌잔고 카드는 축소된 형태). 그 아래 '미체결 3건' 칩(탭하면 미체결 필터). 기간 '2026.08 ~ 2026.09 ▾' + 우측 필터 아이콘(복수 조건이라 바텀시트). 주문 카드 4개 — 카드 상단: 날짜, 개당 가격, 방향(구매 빨강/판매 파랑), 우측 수정(연필)·취소(X) 아이콘은 잔량이 있는 카드에만. 카드 본문: 가게 아이콘, 가게명, 종목명.
 ① '26.09.14 · 개당 6,200원 · 판매 · 미체결 1개 · 만료 D-30' (수정·취소 아이콘 있음)
 ② '26.09.14 · 개당 500,000원 · 구매 · 체결 1개' (아이콘 없음)
 ③ '26.09.13 · 개당 5,000원 · 구매 · 체결 10개 · 미체결 2개' — 체결률 바(10/12)와 평균 체결가 5,000원, 수정·취소 아이콘 모두 있음
 ④ '26.09.10 · 개당 4,900원 · 구매 · 체결 10개 · 취소 2개' (아이콘 없음)
수량 표기 형식은 반드시 '체결 N개 · 미체결 M개'. 체결완료라고만 쓰지 않습니다.
[S088 필터 — 바텀시트] 같은 화면 위로 시트: 타이틀 '필터', 섹션 '주문상태' 칩(전체/미체결 3/체결 5/취소·만료 1), 섹션 '구매/판매' 칩(전체/구매/판매), 하단 [초기화][적용].
[S152 주문 상세 — 바텀시트] 카드 ③을 탭했을 때: 타이틀 '구매 주문 상세', 종목명, 상태 배지 '체결 10개 · 미체결 2개', 요약 표(증권사, 주문일시, 주문가 5,000원, 주문 수량 12개, 체결 수량 10개, 미체결 수량 2개, 총 주문금액 60,000원, 수수료), '체결 내역' 리스트 3행(일시, 체결가, 수량), '만료 D-27', 하단 [잔량 수정] [잔량 취소].</t>
  </si>
  <si>
    <t>요청 6-C. 더보기 / 투자자 자격 신청</t>
  </si>
  <si>
    <t>[S127 더보기] 헤더 '더보기'와 프로필 아이콘·알림. 헤더 바로 아래 조건부 배너 카드 '더 큰 투자의 기회 — 투자자 자격 신청하고 한도를 늘려보세요 &gt;'(일반회원·신청 가능일 때만 보이는 배너). 그 아래 메뉴 8행을 그룹 구분선·그룹 제목 없이 하나의 목록으로 순서대로: 공지사항, 이벤트, 이용안내, 고객센터, 투자자 유의사항, 약관 및 정책, 회사소개(우측 외부링크 아이콘 ↗), 현재 버전정보 v1.0.3(우측 chevron 없음). 하단 법적 고지 문구와 로고, 하단 탭바(더보기 활성).
[S131 공지사항 목록] 헤더 ← '공지사항', 유형 칩 [전체✓][공지][소식], 공지 행 5개('[공지] 서비스이용약관 개정 안내' 2026.09.20 빨간 N 배지, '[소식] 신규 종목 상장 안내' …), 무한 스크롤 표시.
[S124 투자자 자격 신청 — 상태별 5장 중 대표 3장을 한 화면에 세로로 나열] 각 상태 카드: '심사 중이에요'(신청일 2026.09.25, [신청하기] 비활성) / '소득적격 투자자 승인'(인정 만료일 2027.09.01, [갱신 신청]) / '심사가 반려되었어요'(사유 문구 한 줄, [다시 신청하기]). 공통: 한도 비교표(보유한도 1,000만원→3,000만원, 연간거래한도 4,000만원→8,000만원), 진행절차 4단계(서류준비→서류제출→심사진행→한도변경). 제출 서류를 다시 보여주는 UI는 넣지 않습니다.</t>
  </si>
  <si>
    <r>
      <rPr>
        <sz val="10"/>
        <color rgb="FFFF0000"/>
        <rFont val="맑은 고딕"/>
        <family val="3"/>
        <charset val="129"/>
      </rPr>
      <t>기존</t>
    </r>
    <r>
      <rPr>
        <sz val="10"/>
        <color rgb="FFFF0000"/>
        <rFont val="Arial"/>
        <family val="2"/>
      </rPr>
      <t xml:space="preserve"> </t>
    </r>
    <r>
      <rPr>
        <sz val="10"/>
        <color rgb="FFFF0000"/>
        <rFont val="맑은 고딕"/>
        <family val="3"/>
        <charset val="129"/>
      </rPr>
      <t>더보기</t>
    </r>
    <r>
      <rPr>
        <sz val="10"/>
        <color rgb="FFFF0000"/>
        <rFont val="Arial"/>
        <family val="2"/>
      </rPr>
      <t>&gt;</t>
    </r>
    <r>
      <rPr>
        <sz val="10"/>
        <color rgb="FFFF0000"/>
        <rFont val="맑은 고딕"/>
        <family val="3"/>
        <charset val="129"/>
      </rPr>
      <t>소득적격</t>
    </r>
    <r>
      <rPr>
        <sz val="10"/>
        <color rgb="FFFF0000"/>
        <rFont val="Arial"/>
        <family val="2"/>
      </rPr>
      <t xml:space="preserve"> </t>
    </r>
    <r>
      <rPr>
        <sz val="10"/>
        <color rgb="FFFF0000"/>
        <rFont val="맑은 고딕"/>
        <family val="3"/>
        <charset val="129"/>
      </rPr>
      <t>투자자</t>
    </r>
    <r>
      <rPr>
        <sz val="10"/>
        <color rgb="FFFF0000"/>
        <rFont val="Arial"/>
        <family val="2"/>
      </rPr>
      <t xml:space="preserve"> </t>
    </r>
    <r>
      <rPr>
        <sz val="10"/>
        <color rgb="FFFF0000"/>
        <rFont val="맑은 고딕"/>
        <family val="3"/>
        <charset val="129"/>
      </rPr>
      <t>신청</t>
    </r>
    <r>
      <rPr>
        <sz val="10"/>
        <color rgb="FFFF0000"/>
        <rFont val="Arial"/>
        <family val="2"/>
      </rPr>
      <t xml:space="preserve"> </t>
    </r>
    <r>
      <rPr>
        <sz val="10"/>
        <color rgb="FFFF0000"/>
        <rFont val="맑은 고딕"/>
        <family val="3"/>
        <charset val="129"/>
      </rPr>
      <t>이동</t>
    </r>
    <r>
      <rPr>
        <sz val="10"/>
        <color rgb="FFFF0000"/>
        <rFont val="Arial"/>
        <family val="2"/>
      </rPr>
      <t xml:space="preserve">. </t>
    </r>
    <r>
      <rPr>
        <sz val="10"/>
        <color rgb="FFFF0000"/>
        <rFont val="맑은 고딕"/>
        <family val="3"/>
        <charset val="129"/>
      </rPr>
      <t>상세화면</t>
    </r>
    <r>
      <rPr>
        <sz val="10"/>
        <color rgb="FFFF0000"/>
        <rFont val="Arial"/>
        <family val="2"/>
      </rPr>
      <t xml:space="preserve"> </t>
    </r>
    <r>
      <rPr>
        <sz val="10"/>
        <color rgb="FFFF0000"/>
        <rFont val="맑은 고딕"/>
        <family val="3"/>
        <charset val="129"/>
      </rPr>
      <t>내</t>
    </r>
    <r>
      <rPr>
        <sz val="10"/>
        <color rgb="FFFF0000"/>
        <rFont val="Arial"/>
        <family val="2"/>
      </rPr>
      <t xml:space="preserve"> </t>
    </r>
    <r>
      <rPr>
        <sz val="10"/>
        <color rgb="FFFF0000"/>
        <rFont val="맑은 고딕"/>
        <family val="3"/>
        <charset val="129"/>
      </rPr>
      <t>법령명칭</t>
    </r>
    <r>
      <rPr>
        <sz val="10"/>
        <color rgb="FFFF0000"/>
        <rFont val="Arial"/>
        <family val="2"/>
      </rPr>
      <t>(</t>
    </r>
    <r>
      <rPr>
        <sz val="10"/>
        <color rgb="FFFF0000"/>
        <rFont val="맑은 고딕"/>
        <family val="3"/>
        <charset val="129"/>
      </rPr>
      <t>소득적격투자자</t>
    </r>
    <r>
      <rPr>
        <sz val="10"/>
        <color rgb="FFFF0000"/>
        <rFont val="Arial"/>
        <family val="2"/>
      </rPr>
      <t xml:space="preserve">) </t>
    </r>
    <r>
      <rPr>
        <sz val="10"/>
        <color rgb="FFFF0000"/>
        <rFont val="맑은 고딕"/>
        <family val="3"/>
        <charset val="129"/>
      </rPr>
      <t>병기</t>
    </r>
    <r>
      <rPr>
        <sz val="10"/>
        <color rgb="FFFF0000"/>
        <rFont val="Arial"/>
        <family val="2"/>
      </rPr>
      <t xml:space="preserve"> </t>
    </r>
    <r>
      <rPr>
        <sz val="10"/>
        <color rgb="FFFF0000"/>
        <rFont val="맑은 고딕"/>
        <family val="3"/>
        <charset val="129"/>
      </rPr>
      <t>필수
신청</t>
    </r>
    <r>
      <rPr>
        <sz val="10"/>
        <color rgb="FFFF0000"/>
        <rFont val="Arial"/>
        <family val="2"/>
      </rPr>
      <t xml:space="preserve"> </t>
    </r>
    <r>
      <rPr>
        <sz val="10"/>
        <color rgb="FFFF0000"/>
        <rFont val="맑은 고딕"/>
        <family val="3"/>
        <charset val="129"/>
      </rPr>
      <t>이후</t>
    </r>
    <r>
      <rPr>
        <sz val="10"/>
        <color rgb="FFFF0000"/>
        <rFont val="Arial"/>
        <family val="2"/>
      </rPr>
      <t xml:space="preserve"> </t>
    </r>
    <r>
      <rPr>
        <sz val="10"/>
        <color rgb="FFFF0000"/>
        <rFont val="맑은 고딕"/>
        <family val="3"/>
        <charset val="129"/>
      </rPr>
      <t>결과</t>
    </r>
    <r>
      <rPr>
        <sz val="10"/>
        <color rgb="FFFF0000"/>
        <rFont val="Arial"/>
        <family val="2"/>
      </rPr>
      <t xml:space="preserve"> </t>
    </r>
    <r>
      <rPr>
        <sz val="10"/>
        <color rgb="FFFF0000"/>
        <rFont val="맑은 고딕"/>
        <family val="3"/>
        <charset val="129"/>
      </rPr>
      <t>및</t>
    </r>
    <r>
      <rPr>
        <sz val="10"/>
        <color rgb="FFFF0000"/>
        <rFont val="Arial"/>
        <family val="2"/>
      </rPr>
      <t xml:space="preserve"> </t>
    </r>
    <r>
      <rPr>
        <sz val="10"/>
        <color rgb="FFFF0000"/>
        <rFont val="맑은 고딕"/>
        <family val="3"/>
        <charset val="129"/>
      </rPr>
      <t>인정기간</t>
    </r>
    <r>
      <rPr>
        <sz val="10"/>
        <color rgb="FFFF0000"/>
        <rFont val="Arial"/>
        <family val="2"/>
      </rPr>
      <t xml:space="preserve"> </t>
    </r>
    <r>
      <rPr>
        <sz val="10"/>
        <color rgb="FFFF0000"/>
        <rFont val="맑은 고딕"/>
        <family val="3"/>
        <charset val="129"/>
      </rPr>
      <t>표시</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</si>
</sst>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4"/>
      <name val="Noto Sans CJK SC"/>
      <charset val="1"/>
    </font>
    <font>
      <sz val="9"/>
      <color rgb="FF595959"/>
      <name val="Noto Sans CJK SC"/>
      <charset val="1"/>
    </font>
    <font>
      <b/>
      <sz val="10"/>
      <color rgb="FFFFFFFF"/>
      <name val="Noto Sans CJK SC"/>
      <charset val="1"/>
    </font>
    <font>
      <sz val="10"/>
      <name val="Noto Sans CJK SC"/>
      <charset val="1"/>
    </font>
    <font>
      <b/>
      <sz val="10"/>
      <name val="Noto Sans CJK SC"/>
      <charset val="1"/>
    </font>
    <font>
      <strike/>
      <sz val="10"/>
      <color rgb="FF7F7F7F"/>
      <name val="Noto Sans CJK SC"/>
      <charset val="1"/>
    </font>
    <font>
      <b/>
      <sz val="13"/>
      <name val="Noto Sans CJK SC"/>
      <charset val="1"/>
    </font>
    <font>
      <sz val="8"/>
      <name val="돋움"/>
      <family val="3"/>
      <charset val="129"/>
    </font>
    <font>
      <sz val="10"/>
      <color rgb="FFFF0000"/>
      <name val="Noto Sans CJK SC"/>
      <family val="3"/>
      <charset val="129"/>
    </font>
    <font>
      <sz val="10"/>
      <color rgb="FFFF0000"/>
      <name val="맑은 고딕"/>
      <family val="3"/>
      <charset val="129"/>
    </font>
    <font>
      <sz val="10"/>
      <color rgb="FFFF0000"/>
      <name val="Arial"/>
      <family val="2"/>
    </font>
  </fonts>
  <fills count="9">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
      <patternFill patternType="solid">
        <fgColor rgb="FFE4DFEC"/>
        <bgColor rgb="FFD9D9D9"/>
      </patternFill>
    </fill>
    <fill>
      <patternFill patternType="solid">
        <fgColor rgb="FFD9D9D9"/>
        <bgColor rgb="FFE4DFEC"/>
      </patternFill>
    </fill>
    <fill>
      <patternFill patternType="solid">
        <fgColor rgb="FF2E75B6"/>
        <bgColor rgb="FF0066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7" fillId="0" borderId="0" xfId="0" applyFont="1"/>
    <xf numFmtId="0" fontId="4" fillId="0" borderId="0" xfId="0" applyFont="1"/>
    <xf numFmtId="0" fontId="5" fillId="0" borderId="0" xfId="0" applyFont="1"/>
    <xf numFmtId="0" fontId="4" fillId="0" borderId="1" xfId="0" applyFont="1" applyBorder="1" applyAlignment="1">
      <alignment horizontal="center" vertical="top" wrapText="1"/>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3" fillId="8"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xf>
    <xf numFmtId="0" fontId="4" fillId="4" borderId="1" xfId="0" applyFont="1" applyFill="1" applyBorder="1" applyAlignment="1">
      <alignment horizontal="center" vertical="top"/>
    </xf>
    <xf numFmtId="0" fontId="4" fillId="4" borderId="1" xfId="0"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horizontal="center" vertical="top"/>
    </xf>
    <xf numFmtId="0" fontId="4" fillId="6" borderId="1" xfId="0" applyFont="1" applyFill="1" applyBorder="1" applyAlignment="1">
      <alignment vertical="top"/>
    </xf>
    <xf numFmtId="0" fontId="4" fillId="6" borderId="1" xfId="0" applyFont="1" applyFill="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vertical="top"/>
    </xf>
    <xf numFmtId="0" fontId="6" fillId="0" borderId="1" xfId="0" applyFont="1" applyBorder="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horizontal="center" vertical="top"/>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9" fillId="0" borderId="1" xfId="0" applyFont="1" applyBorder="1" applyAlignment="1">
      <alignment vertical="top" wrapText="1"/>
    </xf>
  </cellXfs>
  <cellStyles count="1">
    <cellStyle name="표준" xfId="0" builtinId="0"/>
  </cellStyles>
  <dxfs count="10">
    <dxf>
      <fill>
        <patternFill>
          <bgColor rgb="FFD9D9D9"/>
        </patternFill>
      </fill>
    </dxf>
    <dxf>
      <fill>
        <patternFill>
          <bgColor rgb="FFE4DFEC"/>
        </patternFill>
      </fill>
    </dxf>
    <dxf>
      <fill>
        <patternFill>
          <bgColor rgb="FFDDEBF7"/>
        </patternFill>
      </fill>
    </dxf>
    <dxf>
      <fill>
        <patternFill>
          <bgColor rgb="FFFFF2CC"/>
        </patternFill>
      </fill>
    </dxf>
    <dxf>
      <fill>
        <patternFill>
          <bgColor rgb="FFE2EFDA"/>
        </patternFill>
      </fill>
    </dxf>
    <dxf>
      <fill>
        <patternFill>
          <bgColor rgb="FFD9D9D9"/>
        </patternFill>
      </fill>
    </dxf>
    <dxf>
      <fill>
        <patternFill>
          <bgColor rgb="FFE4DFEC"/>
        </patternFill>
      </fill>
    </dxf>
    <dxf>
      <fill>
        <patternFill>
          <bgColor rgb="FFDDEBF7"/>
        </patternFill>
      </fill>
    </dxf>
    <dxf>
      <fill>
        <patternFill>
          <bgColor rgb="FFFFF2CC"/>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zoomScaleNormal="100" workbookViewId="0">
      <selection sqref="A1:F1"/>
    </sheetView>
  </sheetViews>
  <sheetFormatPr defaultColWidth="8.6328125" defaultRowHeight="14.5"/>
  <cols>
    <col min="1" max="1" width="20" customWidth="1"/>
    <col min="2" max="2" width="60" customWidth="1"/>
    <col min="3" max="3" width="8" customWidth="1"/>
    <col min="4" max="4" width="10" customWidth="1"/>
    <col min="5" max="5" width="14" customWidth="1"/>
    <col min="6" max="6" width="4" customWidth="1"/>
  </cols>
  <sheetData>
    <row r="1" spans="1:6" ht="18">
      <c r="A1" s="6" t="s">
        <v>0</v>
      </c>
      <c r="B1" s="6"/>
      <c r="C1" s="6"/>
      <c r="D1" s="6"/>
      <c r="E1" s="6"/>
      <c r="F1" s="6"/>
    </row>
    <row r="2" spans="1:6">
      <c r="A2" s="5" t="s">
        <v>1</v>
      </c>
      <c r="B2" s="5"/>
      <c r="C2" s="5"/>
      <c r="D2" s="5"/>
      <c r="E2" s="5"/>
      <c r="F2" s="5"/>
    </row>
    <row r="4" spans="1:6" ht="30" customHeight="1">
      <c r="A4" s="7" t="s">
        <v>2</v>
      </c>
      <c r="B4" s="7" t="s">
        <v>3</v>
      </c>
      <c r="C4" s="7" t="s">
        <v>4</v>
      </c>
      <c r="D4" s="7" t="s">
        <v>5</v>
      </c>
      <c r="E4" s="7" t="s">
        <v>6</v>
      </c>
      <c r="F4" s="7"/>
    </row>
    <row r="5" spans="1:6">
      <c r="A5" s="8" t="s">
        <v>7</v>
      </c>
      <c r="B5" s="9" t="s">
        <v>8</v>
      </c>
      <c r="C5" s="10"/>
      <c r="D5" s="8">
        <f>COUNTIF(메뉴구조!$K$5:$K$156,A5)</f>
        <v>4</v>
      </c>
      <c r="E5" s="8">
        <f>COUNTIF('기능정의 상세'!$K$4:$K$714,A5)</f>
        <v>35</v>
      </c>
    </row>
    <row r="6" spans="1:6">
      <c r="A6" s="8" t="s">
        <v>9</v>
      </c>
      <c r="B6" s="9" t="s">
        <v>10</v>
      </c>
      <c r="C6" s="11"/>
      <c r="D6" s="8">
        <f>COUNTIF(메뉴구조!$K$5:$K$156,A6)</f>
        <v>69</v>
      </c>
      <c r="E6" s="8">
        <f>COUNTIF('기능정의 상세'!$K$4:$K$714,A6)</f>
        <v>119</v>
      </c>
    </row>
    <row r="7" spans="1:6">
      <c r="A7" s="8" t="s">
        <v>11</v>
      </c>
      <c r="B7" s="9" t="s">
        <v>12</v>
      </c>
      <c r="C7" s="12"/>
      <c r="D7" s="8">
        <f>COUNTIF(메뉴구조!$K$5:$K$156,A7)</f>
        <v>14</v>
      </c>
      <c r="E7" s="8">
        <f>COUNTIF('기능정의 상세'!$K$4:$K$714,A7)</f>
        <v>64</v>
      </c>
    </row>
    <row r="8" spans="1:6">
      <c r="A8" s="8" t="s">
        <v>13</v>
      </c>
      <c r="B8" s="9" t="s">
        <v>14</v>
      </c>
      <c r="C8" s="13"/>
      <c r="D8" s="8">
        <f>COUNTIF(메뉴구조!$K$5:$K$156,A8)</f>
        <v>33</v>
      </c>
      <c r="E8" s="8">
        <f>COUNTIF('기능정의 상세'!$K$4:$K$714,A8)</f>
        <v>144</v>
      </c>
    </row>
    <row r="9" spans="1:6">
      <c r="A9" s="8" t="s">
        <v>15</v>
      </c>
      <c r="B9" s="9" t="s">
        <v>16</v>
      </c>
      <c r="C9" s="14"/>
      <c r="D9" s="8">
        <f>COUNTIF(메뉴구조!$K$5:$K$156,A9)</f>
        <v>2</v>
      </c>
      <c r="E9" s="8">
        <f>COUNTIF('기능정의 상세'!$K$4:$K$714,A9)</f>
        <v>34</v>
      </c>
    </row>
    <row r="10" spans="1:6">
      <c r="A10" s="8" t="s">
        <v>17</v>
      </c>
      <c r="B10" s="9" t="s">
        <v>18</v>
      </c>
      <c r="C10" s="8"/>
      <c r="D10" s="8">
        <f>COUNTIF(메뉴구조!$K$5:$K$156,A10)</f>
        <v>30</v>
      </c>
      <c r="E10" s="8">
        <f>COUNTIF('기능정의 상세'!$K$4:$K$714,A10)</f>
        <v>315</v>
      </c>
    </row>
    <row r="11" spans="1:6">
      <c r="A11" s="15" t="s">
        <v>19</v>
      </c>
      <c r="B11" s="16"/>
      <c r="C11" s="15"/>
      <c r="D11" s="15">
        <f>SUM(D5:D10)</f>
        <v>152</v>
      </c>
      <c r="E11" s="15">
        <f>SUM(E5:E10)</f>
        <v>711</v>
      </c>
    </row>
    <row r="12" spans="1:6" ht="15" customHeight="1">
      <c r="A12" s="4" t="s">
        <v>20</v>
      </c>
      <c r="B12" s="4"/>
      <c r="C12" s="4"/>
      <c r="D12" s="8">
        <f>D11-D9</f>
        <v>150</v>
      </c>
      <c r="E12" s="8">
        <f>E11-E9</f>
        <v>677</v>
      </c>
    </row>
    <row r="14" spans="1:6">
      <c r="A14" s="3" t="s">
        <v>21</v>
      </c>
      <c r="B14" s="3"/>
      <c r="C14" s="3"/>
      <c r="D14" s="3"/>
      <c r="E14" s="3"/>
      <c r="F14" s="3"/>
    </row>
    <row r="15" spans="1:6">
      <c r="A15" s="2" t="s">
        <v>22</v>
      </c>
      <c r="B15" s="2"/>
      <c r="C15" s="2"/>
      <c r="D15" s="2"/>
      <c r="E15" s="2"/>
      <c r="F15" s="2"/>
    </row>
    <row r="16" spans="1:6">
      <c r="A16" s="2"/>
      <c r="B16" s="2"/>
      <c r="C16" s="2"/>
      <c r="D16" s="2"/>
      <c r="E16" s="2"/>
      <c r="F16" s="2"/>
    </row>
    <row r="17" spans="1:6">
      <c r="A17" s="2" t="s">
        <v>23</v>
      </c>
      <c r="B17" s="2"/>
      <c r="C17" s="2"/>
      <c r="D17" s="2"/>
      <c r="E17" s="2"/>
      <c r="F17" s="2"/>
    </row>
    <row r="18" spans="1:6">
      <c r="A18" s="2" t="s">
        <v>24</v>
      </c>
      <c r="B18" s="2"/>
      <c r="C18" s="2"/>
      <c r="D18" s="2"/>
      <c r="E18" s="2"/>
      <c r="F18" s="2"/>
    </row>
    <row r="19" spans="1:6">
      <c r="A19" s="2" t="s">
        <v>25</v>
      </c>
      <c r="B19" s="2"/>
      <c r="C19" s="2"/>
      <c r="D19" s="2"/>
      <c r="E19" s="2"/>
      <c r="F19" s="2"/>
    </row>
    <row r="20" spans="1:6">
      <c r="A20" s="2" t="s">
        <v>26</v>
      </c>
      <c r="B20" s="2"/>
      <c r="C20" s="2"/>
      <c r="D20" s="2"/>
      <c r="E20" s="2"/>
      <c r="F20" s="2"/>
    </row>
    <row r="21" spans="1:6">
      <c r="A21" s="2" t="s">
        <v>27</v>
      </c>
      <c r="B21" s="2"/>
      <c r="C21" s="2"/>
      <c r="D21" s="2"/>
      <c r="E21" s="2"/>
      <c r="F21" s="2"/>
    </row>
    <row r="22" spans="1:6">
      <c r="A22" s="2" t="s">
        <v>28</v>
      </c>
      <c r="B22" s="2"/>
      <c r="C22" s="2"/>
      <c r="D22" s="2"/>
      <c r="E22" s="2"/>
      <c r="F22" s="2"/>
    </row>
    <row r="23" spans="1:6">
      <c r="A23" s="2" t="s">
        <v>29</v>
      </c>
      <c r="B23" s="2"/>
      <c r="C23" s="2"/>
      <c r="D23" s="2"/>
      <c r="E23" s="2"/>
      <c r="F23" s="2"/>
    </row>
    <row r="24" spans="1:6">
      <c r="A24" s="2" t="s">
        <v>30</v>
      </c>
      <c r="B24" s="2"/>
      <c r="C24" s="2"/>
      <c r="D24" s="2"/>
      <c r="E24" s="2"/>
      <c r="F24" s="2"/>
    </row>
    <row r="25" spans="1:6">
      <c r="A25" s="2" t="s">
        <v>31</v>
      </c>
      <c r="B25" s="2"/>
      <c r="C25" s="2"/>
      <c r="D25" s="2"/>
      <c r="E25" s="2"/>
      <c r="F25" s="2"/>
    </row>
    <row r="27" spans="1:6">
      <c r="A27" s="3" t="s">
        <v>32</v>
      </c>
      <c r="B27" s="3"/>
      <c r="C27" s="3"/>
      <c r="D27" s="3"/>
      <c r="E27" s="3"/>
      <c r="F27" s="3"/>
    </row>
    <row r="28" spans="1:6">
      <c r="A28" s="2" t="s">
        <v>33</v>
      </c>
      <c r="B28" s="2"/>
      <c r="C28" s="2"/>
      <c r="D28" s="2"/>
      <c r="E28" s="2"/>
      <c r="F28" s="2"/>
    </row>
    <row r="29" spans="1:6">
      <c r="A29" s="2" t="s">
        <v>34</v>
      </c>
      <c r="B29" s="2"/>
      <c r="C29" s="2"/>
      <c r="D29" s="2"/>
      <c r="E29" s="2"/>
      <c r="F29" s="2"/>
    </row>
    <row r="30" spans="1:6">
      <c r="A30" s="2" t="s">
        <v>35</v>
      </c>
      <c r="B30" s="2"/>
      <c r="C30" s="2"/>
      <c r="D30" s="2"/>
      <c r="E30" s="2"/>
      <c r="F30" s="2"/>
    </row>
    <row r="31" spans="1:6">
      <c r="A31" s="2" t="s">
        <v>36</v>
      </c>
      <c r="B31" s="2"/>
      <c r="C31" s="2"/>
      <c r="D31" s="2"/>
      <c r="E31" s="2"/>
      <c r="F31" s="2"/>
    </row>
  </sheetData>
  <mergeCells count="20">
    <mergeCell ref="A27:F27"/>
    <mergeCell ref="A28:F28"/>
    <mergeCell ref="A29:F29"/>
    <mergeCell ref="A30:F30"/>
    <mergeCell ref="A31:F31"/>
    <mergeCell ref="A21:F21"/>
    <mergeCell ref="A22:F22"/>
    <mergeCell ref="A23:F23"/>
    <mergeCell ref="A24:F24"/>
    <mergeCell ref="A25:F25"/>
    <mergeCell ref="A16:F16"/>
    <mergeCell ref="A17:F17"/>
    <mergeCell ref="A18:F18"/>
    <mergeCell ref="A19:F19"/>
    <mergeCell ref="A20:F20"/>
    <mergeCell ref="A1:F1"/>
    <mergeCell ref="A2:F2"/>
    <mergeCell ref="A12:C12"/>
    <mergeCell ref="A14:F14"/>
    <mergeCell ref="A15:F15"/>
  </mergeCells>
  <phoneticPr fontId="8"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6"/>
  <sheetViews>
    <sheetView zoomScaleNormal="100" workbookViewId="0">
      <pane xSplit="1" ySplit="4" topLeftCell="D110" activePane="bottomRight" state="frozen"/>
      <selection pane="topRight" activeCell="B1" sqref="B1"/>
      <selection pane="bottomLeft" activeCell="A5" sqref="A5"/>
      <selection pane="bottomRight" activeCell="N130" sqref="N130"/>
    </sheetView>
  </sheetViews>
  <sheetFormatPr defaultColWidth="8.6328125" defaultRowHeight="14.5"/>
  <cols>
    <col min="1" max="1" width="8" customWidth="1"/>
    <col min="2" max="2" width="12" customWidth="1"/>
    <col min="3" max="3" width="14" customWidth="1"/>
    <col min="4" max="4" width="16" customWidth="1"/>
    <col min="5" max="5" width="22" customWidth="1"/>
    <col min="6" max="6" width="11" customWidth="1"/>
    <col min="7" max="7" width="48" customWidth="1"/>
    <col min="8" max="8" width="8" customWidth="1"/>
    <col min="9" max="9" width="9" customWidth="1"/>
    <col min="10" max="10" width="8" customWidth="1"/>
    <col min="11" max="11" width="10" customWidth="1"/>
    <col min="12" max="12" width="44" customWidth="1"/>
    <col min="13" max="13" width="52" customWidth="1"/>
    <col min="14" max="14" width="44" customWidth="1"/>
    <col min="15" max="15" width="38" customWidth="1"/>
  </cols>
  <sheetData>
    <row r="1" spans="1:15" ht="18">
      <c r="A1" s="6" t="s">
        <v>37</v>
      </c>
      <c r="B1" s="6"/>
      <c r="C1" s="6"/>
      <c r="D1" s="6"/>
      <c r="E1" s="6"/>
      <c r="F1" s="6"/>
      <c r="G1" s="6"/>
      <c r="H1" s="6"/>
      <c r="I1" s="6"/>
      <c r="J1" s="6"/>
      <c r="K1" s="6"/>
      <c r="L1" s="6"/>
      <c r="M1" s="6"/>
      <c r="N1" s="6"/>
      <c r="O1" s="6"/>
    </row>
    <row r="2" spans="1:15">
      <c r="A2" s="5" t="s">
        <v>38</v>
      </c>
      <c r="B2" s="5"/>
      <c r="C2" s="5"/>
      <c r="D2" s="5"/>
      <c r="E2" s="5"/>
      <c r="F2" s="5"/>
      <c r="G2" s="5"/>
      <c r="H2" s="5"/>
      <c r="I2" s="5"/>
      <c r="J2" s="5"/>
      <c r="K2" s="5"/>
      <c r="L2" s="5"/>
      <c r="M2" s="5"/>
      <c r="N2" s="5"/>
      <c r="O2" s="5"/>
    </row>
    <row r="4" spans="1:15" ht="30" customHeight="1">
      <c r="A4" s="7" t="s">
        <v>39</v>
      </c>
      <c r="B4" s="7" t="s">
        <v>40</v>
      </c>
      <c r="C4" s="7" t="s">
        <v>41</v>
      </c>
      <c r="D4" s="7" t="s">
        <v>42</v>
      </c>
      <c r="E4" s="7" t="s">
        <v>43</v>
      </c>
      <c r="F4" s="7" t="s">
        <v>44</v>
      </c>
      <c r="G4" s="17" t="s">
        <v>45</v>
      </c>
      <c r="H4" s="7" t="s">
        <v>46</v>
      </c>
      <c r="I4" s="17" t="s">
        <v>47</v>
      </c>
      <c r="J4" s="7" t="s">
        <v>48</v>
      </c>
      <c r="K4" s="7" t="s">
        <v>2</v>
      </c>
      <c r="L4" s="7" t="s">
        <v>49</v>
      </c>
      <c r="M4" s="7" t="s">
        <v>50</v>
      </c>
      <c r="N4" s="7" t="s">
        <v>51</v>
      </c>
      <c r="O4" s="7" t="s">
        <v>52</v>
      </c>
    </row>
    <row r="5" spans="1:15">
      <c r="A5" s="18" t="s">
        <v>53</v>
      </c>
      <c r="B5" s="19" t="s">
        <v>54</v>
      </c>
      <c r="C5" s="19" t="s">
        <v>55</v>
      </c>
      <c r="D5" s="19" t="s">
        <v>55</v>
      </c>
      <c r="E5" s="19" t="s">
        <v>55</v>
      </c>
      <c r="F5" s="19" t="s">
        <v>56</v>
      </c>
      <c r="G5" s="9" t="str">
        <f t="shared" ref="G5:G36" si="0">B5&amp;IF(OR(C5="",C5="—"),"", " / "&amp;C5)&amp;IF(OR(D5="",D5="—"),"", " / "&amp;D5)&amp;IF(OR(E5="",E5="—"),"", " / "&amp;E5)</f>
        <v>스플래시</v>
      </c>
      <c r="H5" s="18" t="s">
        <v>57</v>
      </c>
      <c r="I5" s="18">
        <f>COUNTIFS('기능정의 상세'!$A$4:$A$1200,A5,'기능정의 상세'!$K$4:$K$1200,"&lt;&gt;삭제")</f>
        <v>6</v>
      </c>
      <c r="J5" s="18" t="s">
        <v>58</v>
      </c>
      <c r="K5" s="18" t="s">
        <v>17</v>
      </c>
      <c r="L5" s="9"/>
      <c r="M5" s="9"/>
      <c r="N5" s="9"/>
      <c r="O5" s="9" t="s">
        <v>59</v>
      </c>
    </row>
    <row r="6" spans="1:15">
      <c r="A6" s="18" t="s">
        <v>60</v>
      </c>
      <c r="B6" s="19" t="s">
        <v>61</v>
      </c>
      <c r="C6" s="19" t="s">
        <v>62</v>
      </c>
      <c r="D6" s="19" t="s">
        <v>55</v>
      </c>
      <c r="E6" s="19" t="s">
        <v>55</v>
      </c>
      <c r="F6" s="19" t="s">
        <v>56</v>
      </c>
      <c r="G6" s="9" t="str">
        <f t="shared" si="0"/>
        <v>회원가입 / 약관동의</v>
      </c>
      <c r="H6" s="18" t="s">
        <v>57</v>
      </c>
      <c r="I6" s="18">
        <f>COUNTIFS('기능정의 상세'!$A$4:$A$1200,A6,'기능정의 상세'!$K$4:$K$1200,"&lt;&gt;삭제")</f>
        <v>5</v>
      </c>
      <c r="J6" s="18" t="s">
        <v>63</v>
      </c>
      <c r="K6" s="18" t="s">
        <v>17</v>
      </c>
      <c r="L6" s="9"/>
      <c r="M6" s="9"/>
      <c r="N6" s="9"/>
      <c r="O6" s="9"/>
    </row>
    <row r="7" spans="1:15">
      <c r="A7" s="18" t="s">
        <v>64</v>
      </c>
      <c r="B7" s="19" t="s">
        <v>61</v>
      </c>
      <c r="C7" s="19" t="s">
        <v>65</v>
      </c>
      <c r="D7" s="19" t="s">
        <v>55</v>
      </c>
      <c r="E7" s="19" t="s">
        <v>55</v>
      </c>
      <c r="F7" s="19" t="s">
        <v>56</v>
      </c>
      <c r="G7" s="9" t="str">
        <f t="shared" si="0"/>
        <v>회원가입 / 본인인증_정책</v>
      </c>
      <c r="H7" s="18"/>
      <c r="I7" s="18">
        <f>COUNTIFS('기능정의 상세'!$A$4:$A$1200,A7,'기능정의 상세'!$K$4:$K$1200,"&lt;&gt;삭제")</f>
        <v>4</v>
      </c>
      <c r="J7" s="18" t="s">
        <v>58</v>
      </c>
      <c r="K7" s="18" t="s">
        <v>17</v>
      </c>
      <c r="L7" s="9"/>
      <c r="M7" s="9"/>
      <c r="N7" s="9"/>
      <c r="O7" s="9" t="s">
        <v>59</v>
      </c>
    </row>
    <row r="8" spans="1:15">
      <c r="A8" s="18" t="s">
        <v>66</v>
      </c>
      <c r="B8" s="19" t="s">
        <v>61</v>
      </c>
      <c r="C8" s="19" t="s">
        <v>67</v>
      </c>
      <c r="D8" s="19" t="s">
        <v>55</v>
      </c>
      <c r="E8" s="19" t="s">
        <v>55</v>
      </c>
      <c r="F8" s="19" t="s">
        <v>56</v>
      </c>
      <c r="G8" s="9" t="str">
        <f t="shared" si="0"/>
        <v>회원가입 / 회원정보 입력</v>
      </c>
      <c r="H8" s="18" t="s">
        <v>57</v>
      </c>
      <c r="I8" s="18">
        <f>COUNTIFS('기능정의 상세'!$A$4:$A$1200,A8,'기능정의 상세'!$K$4:$K$1200,"&lt;&gt;삭제")</f>
        <v>0</v>
      </c>
      <c r="J8" s="18" t="s">
        <v>63</v>
      </c>
      <c r="K8" s="18" t="s">
        <v>17</v>
      </c>
      <c r="L8" s="9"/>
      <c r="M8" s="9"/>
      <c r="N8" s="9"/>
      <c r="O8" s="9"/>
    </row>
    <row r="9" spans="1:15">
      <c r="A9" s="18" t="s">
        <v>68</v>
      </c>
      <c r="B9" s="19" t="s">
        <v>61</v>
      </c>
      <c r="C9" s="19" t="s">
        <v>69</v>
      </c>
      <c r="D9" s="19" t="s">
        <v>55</v>
      </c>
      <c r="E9" s="19" t="s">
        <v>55</v>
      </c>
      <c r="F9" s="19" t="s">
        <v>56</v>
      </c>
      <c r="G9" s="9" t="str">
        <f t="shared" si="0"/>
        <v>회원가입 / 로그인설정 (생체)</v>
      </c>
      <c r="H9" s="18"/>
      <c r="I9" s="18">
        <f>COUNTIFS('기능정의 상세'!$A$4:$A$1200,A9,'기능정의 상세'!$K$4:$K$1200,"&lt;&gt;삭제")</f>
        <v>6</v>
      </c>
      <c r="J9" s="18" t="s">
        <v>58</v>
      </c>
      <c r="K9" s="18" t="s">
        <v>17</v>
      </c>
      <c r="L9" s="9"/>
      <c r="M9" s="9"/>
      <c r="N9" s="9"/>
      <c r="O9" s="9" t="s">
        <v>59</v>
      </c>
    </row>
    <row r="10" spans="1:15">
      <c r="A10" s="18" t="s">
        <v>70</v>
      </c>
      <c r="B10" s="19" t="s">
        <v>61</v>
      </c>
      <c r="C10" s="19" t="s">
        <v>71</v>
      </c>
      <c r="D10" s="19" t="s">
        <v>55</v>
      </c>
      <c r="E10" s="19" t="s">
        <v>55</v>
      </c>
      <c r="F10" s="19" t="s">
        <v>56</v>
      </c>
      <c r="G10" s="9" t="str">
        <f t="shared" si="0"/>
        <v>회원가입 / 투자정보 입력</v>
      </c>
      <c r="H10" s="18"/>
      <c r="I10" s="18">
        <f>COUNTIFS('기능정의 상세'!$A$4:$A$1200,A10,'기능정의 상세'!$K$4:$K$1200,"&lt;&gt;삭제")</f>
        <v>7</v>
      </c>
      <c r="J10" s="18" t="s">
        <v>58</v>
      </c>
      <c r="K10" s="18" t="s">
        <v>17</v>
      </c>
      <c r="L10" s="9"/>
      <c r="M10" s="9"/>
      <c r="N10" s="9"/>
      <c r="O10" s="9"/>
    </row>
    <row r="11" spans="1:15">
      <c r="A11" s="18" t="s">
        <v>72</v>
      </c>
      <c r="B11" s="19" t="s">
        <v>61</v>
      </c>
      <c r="C11" s="19" t="s">
        <v>73</v>
      </c>
      <c r="D11" s="19" t="s">
        <v>55</v>
      </c>
      <c r="E11" s="19" t="s">
        <v>55</v>
      </c>
      <c r="F11" s="19" t="s">
        <v>56</v>
      </c>
      <c r="G11" s="9" t="str">
        <f t="shared" si="0"/>
        <v>회원가입 / 투자정보 입력 2</v>
      </c>
      <c r="H11" s="18"/>
      <c r="I11" s="18">
        <f>COUNTIFS('기능정의 상세'!$A$4:$A$1200,A11,'기능정의 상세'!$K$4:$K$1200,"&lt;&gt;삭제")</f>
        <v>11</v>
      </c>
      <c r="J11" s="18" t="s">
        <v>58</v>
      </c>
      <c r="K11" s="18" t="s">
        <v>17</v>
      </c>
      <c r="L11" s="9"/>
      <c r="M11" s="9"/>
      <c r="N11" s="9"/>
      <c r="O11" s="9" t="s">
        <v>59</v>
      </c>
    </row>
    <row r="12" spans="1:15">
      <c r="A12" s="18" t="s">
        <v>74</v>
      </c>
      <c r="B12" s="19" t="s">
        <v>61</v>
      </c>
      <c r="C12" s="19" t="s">
        <v>75</v>
      </c>
      <c r="D12" s="19" t="s">
        <v>55</v>
      </c>
      <c r="E12" s="19" t="s">
        <v>55</v>
      </c>
      <c r="F12" s="19" t="s">
        <v>56</v>
      </c>
      <c r="G12" s="9" t="str">
        <f t="shared" si="0"/>
        <v>회원가입 / 가입완료</v>
      </c>
      <c r="H12" s="18"/>
      <c r="I12" s="18">
        <f>COUNTIFS('기능정의 상세'!$A$4:$A$1200,A12,'기능정의 상세'!$K$4:$K$1200,"&lt;&gt;삭제")</f>
        <v>9</v>
      </c>
      <c r="J12" s="18" t="s">
        <v>58</v>
      </c>
      <c r="K12" s="18" t="s">
        <v>17</v>
      </c>
      <c r="L12" s="9"/>
      <c r="M12" s="9"/>
      <c r="N12" s="9" t="s">
        <v>76</v>
      </c>
      <c r="O12" s="9"/>
    </row>
    <row r="13" spans="1:15">
      <c r="A13" s="18" t="s">
        <v>77</v>
      </c>
      <c r="B13" s="19" t="s">
        <v>61</v>
      </c>
      <c r="C13" s="19" t="s">
        <v>69</v>
      </c>
      <c r="D13" s="19" t="s">
        <v>55</v>
      </c>
      <c r="E13" s="19" t="s">
        <v>55</v>
      </c>
      <c r="F13" s="19" t="s">
        <v>56</v>
      </c>
      <c r="G13" s="9" t="str">
        <f t="shared" si="0"/>
        <v>회원가입 / 로그인설정 (생체)</v>
      </c>
      <c r="H13" s="18"/>
      <c r="I13" s="18">
        <f>COUNTIFS('기능정의 상세'!$A$4:$A$1200,A13,'기능정의 상세'!$K$4:$K$1200,"&lt;&gt;삭제")</f>
        <v>6</v>
      </c>
      <c r="J13" s="18" t="s">
        <v>58</v>
      </c>
      <c r="K13" s="18" t="s">
        <v>17</v>
      </c>
      <c r="L13" s="9"/>
      <c r="M13" s="9"/>
      <c r="N13" s="9"/>
      <c r="O13" s="9" t="s">
        <v>59</v>
      </c>
    </row>
    <row r="14" spans="1:15">
      <c r="A14" s="18" t="s">
        <v>78</v>
      </c>
      <c r="B14" s="19" t="s">
        <v>79</v>
      </c>
      <c r="C14" s="19" t="s">
        <v>79</v>
      </c>
      <c r="D14" s="19" t="s">
        <v>55</v>
      </c>
      <c r="E14" s="19" t="s">
        <v>55</v>
      </c>
      <c r="F14" s="19" t="s">
        <v>56</v>
      </c>
      <c r="G14" s="9" t="str">
        <f t="shared" si="0"/>
        <v>로그인 / 로그인</v>
      </c>
      <c r="H14" s="18" t="s">
        <v>57</v>
      </c>
      <c r="I14" s="18">
        <f>COUNTIFS('기능정의 상세'!$A$4:$A$1200,A14,'기능정의 상세'!$K$4:$K$1200,"&lt;&gt;삭제")</f>
        <v>7</v>
      </c>
      <c r="J14" s="18" t="s">
        <v>63</v>
      </c>
      <c r="K14" s="18" t="s">
        <v>17</v>
      </c>
      <c r="L14" s="9"/>
      <c r="M14" s="9"/>
      <c r="N14" s="9"/>
      <c r="O14" s="9"/>
    </row>
    <row r="15" spans="1:15">
      <c r="A15" s="18" t="s">
        <v>80</v>
      </c>
      <c r="B15" s="19" t="s">
        <v>79</v>
      </c>
      <c r="C15" s="19" t="s">
        <v>81</v>
      </c>
      <c r="D15" s="19" t="s">
        <v>55</v>
      </c>
      <c r="E15" s="19" t="s">
        <v>55</v>
      </c>
      <c r="F15" s="19" t="s">
        <v>56</v>
      </c>
      <c r="G15" s="9" t="str">
        <f t="shared" si="0"/>
        <v>로그인 / 다른방법으로로그인</v>
      </c>
      <c r="H15" s="18"/>
      <c r="I15" s="18">
        <f>COUNTIFS('기능정의 상세'!$A$4:$A$1200,A15,'기능정의 상세'!$K$4:$K$1200,"&lt;&gt;삭제")</f>
        <v>5</v>
      </c>
      <c r="J15" s="18" t="s">
        <v>63</v>
      </c>
      <c r="K15" s="18" t="s">
        <v>17</v>
      </c>
      <c r="L15" s="9"/>
      <c r="M15" s="9"/>
      <c r="N15" s="9"/>
      <c r="O15" s="9" t="s">
        <v>59</v>
      </c>
    </row>
    <row r="16" spans="1:15" ht="25">
      <c r="A16" s="18" t="s">
        <v>82</v>
      </c>
      <c r="B16" s="19" t="s">
        <v>83</v>
      </c>
      <c r="C16" s="19" t="s">
        <v>55</v>
      </c>
      <c r="D16" s="19" t="s">
        <v>55</v>
      </c>
      <c r="E16" s="19" t="s">
        <v>55</v>
      </c>
      <c r="F16" s="19" t="s">
        <v>84</v>
      </c>
      <c r="G16" s="9" t="str">
        <f t="shared" si="0"/>
        <v>홈</v>
      </c>
      <c r="H16" s="18" t="s">
        <v>57</v>
      </c>
      <c r="I16" s="18">
        <f>COUNTIFS('기능정의 상세'!$A$4:$A$1200,A16,'기능정의 상세'!$K$4:$K$1200,"&lt;&gt;삭제")</f>
        <v>12</v>
      </c>
      <c r="J16" s="18" t="s">
        <v>63</v>
      </c>
      <c r="K16" s="20" t="s">
        <v>9</v>
      </c>
      <c r="L16" s="9"/>
      <c r="M16" s="9" t="s">
        <v>85</v>
      </c>
      <c r="N16" s="9" t="s">
        <v>86</v>
      </c>
      <c r="O16" s="9"/>
    </row>
    <row r="17" spans="1:15">
      <c r="A17" s="18" t="s">
        <v>87</v>
      </c>
      <c r="B17" s="19" t="s">
        <v>83</v>
      </c>
      <c r="C17" s="19" t="s">
        <v>88</v>
      </c>
      <c r="D17" s="19" t="s">
        <v>55</v>
      </c>
      <c r="E17" s="19" t="s">
        <v>55</v>
      </c>
      <c r="F17" s="19" t="s">
        <v>56</v>
      </c>
      <c r="G17" s="9" t="str">
        <f t="shared" si="0"/>
        <v>홈 / 로그인 후</v>
      </c>
      <c r="H17" s="18"/>
      <c r="I17" s="18">
        <f>COUNTIFS('기능정의 상세'!$A$4:$A$1200,A17,'기능정의 상세'!$K$4:$K$1200,"&lt;&gt;삭제")</f>
        <v>3</v>
      </c>
      <c r="J17" s="18" t="s">
        <v>63</v>
      </c>
      <c r="K17" s="18" t="s">
        <v>17</v>
      </c>
      <c r="L17" s="9"/>
      <c r="M17" s="9"/>
      <c r="N17" s="9"/>
      <c r="O17" s="9" t="s">
        <v>59</v>
      </c>
    </row>
    <row r="18" spans="1:15">
      <c r="A18" s="18" t="s">
        <v>89</v>
      </c>
      <c r="B18" s="19" t="s">
        <v>83</v>
      </c>
      <c r="C18" s="19" t="s">
        <v>88</v>
      </c>
      <c r="D18" s="19" t="s">
        <v>55</v>
      </c>
      <c r="E18" s="19" t="s">
        <v>55</v>
      </c>
      <c r="F18" s="19" t="s">
        <v>56</v>
      </c>
      <c r="G18" s="9" t="str">
        <f t="shared" si="0"/>
        <v>홈 / 로그인 후</v>
      </c>
      <c r="H18" s="18"/>
      <c r="I18" s="18">
        <f>COUNTIFS('기능정의 상세'!$A$4:$A$1200,A18,'기능정의 상세'!$K$4:$K$1200,"&lt;&gt;삭제")</f>
        <v>1</v>
      </c>
      <c r="J18" s="18" t="s">
        <v>63</v>
      </c>
      <c r="K18" s="20" t="s">
        <v>9</v>
      </c>
      <c r="L18" s="9"/>
      <c r="M18" s="9" t="s">
        <v>90</v>
      </c>
      <c r="N18" s="9"/>
      <c r="O18" s="9" t="s">
        <v>59</v>
      </c>
    </row>
    <row r="19" spans="1:15" ht="25">
      <c r="A19" s="18" t="s">
        <v>91</v>
      </c>
      <c r="B19" s="19" t="s">
        <v>92</v>
      </c>
      <c r="C19" s="19" t="s">
        <v>93</v>
      </c>
      <c r="D19" s="19" t="s">
        <v>94</v>
      </c>
      <c r="E19" s="19" t="s">
        <v>55</v>
      </c>
      <c r="F19" s="19" t="s">
        <v>94</v>
      </c>
      <c r="G19" s="9" t="str">
        <f t="shared" si="0"/>
        <v>백년가게 / 탐색 / 목록</v>
      </c>
      <c r="H19" s="18" t="s">
        <v>57</v>
      </c>
      <c r="I19" s="18">
        <f>COUNTIFS('기능정의 상세'!$A$4:$A$1200,A19,'기능정의 상세'!$K$4:$K$1200,"&lt;&gt;삭제")</f>
        <v>5</v>
      </c>
      <c r="J19" s="18" t="s">
        <v>63</v>
      </c>
      <c r="K19" s="20" t="s">
        <v>9</v>
      </c>
      <c r="L19" s="9"/>
      <c r="M19" s="9" t="s">
        <v>95</v>
      </c>
      <c r="N19" s="9"/>
      <c r="O19" s="9"/>
    </row>
    <row r="20" spans="1:15">
      <c r="A20" s="18" t="s">
        <v>96</v>
      </c>
      <c r="B20" s="19" t="s">
        <v>92</v>
      </c>
      <c r="C20" s="19" t="s">
        <v>93</v>
      </c>
      <c r="D20" s="19" t="s">
        <v>97</v>
      </c>
      <c r="E20" s="19" t="s">
        <v>98</v>
      </c>
      <c r="F20" s="19" t="s">
        <v>99</v>
      </c>
      <c r="G20" s="9" t="str">
        <f t="shared" si="0"/>
        <v>백년가게 / 탐색 / 가게 상세 / 정보</v>
      </c>
      <c r="H20" s="18" t="s">
        <v>57</v>
      </c>
      <c r="I20" s="18">
        <f>COUNTIFS('기능정의 상세'!$A$4:$A$1200,A20,'기능정의 상세'!$K$4:$K$1200,"&lt;&gt;삭제")</f>
        <v>8</v>
      </c>
      <c r="J20" s="18" t="s">
        <v>63</v>
      </c>
      <c r="K20" s="20" t="s">
        <v>9</v>
      </c>
      <c r="L20" s="9"/>
      <c r="M20" s="9" t="s">
        <v>100</v>
      </c>
      <c r="N20" s="9"/>
      <c r="O20" s="9"/>
    </row>
    <row r="21" spans="1:15">
      <c r="A21" s="18" t="s">
        <v>101</v>
      </c>
      <c r="B21" s="19" t="s">
        <v>92</v>
      </c>
      <c r="C21" s="19" t="s">
        <v>93</v>
      </c>
      <c r="D21" s="19" t="s">
        <v>97</v>
      </c>
      <c r="E21" s="19" t="s">
        <v>102</v>
      </c>
      <c r="F21" s="19" t="s">
        <v>103</v>
      </c>
      <c r="G21" s="9" t="str">
        <f t="shared" si="0"/>
        <v>백년가게 / 탐색 / 가게 상세 / 종목</v>
      </c>
      <c r="H21" s="18" t="s">
        <v>57</v>
      </c>
      <c r="I21" s="18">
        <f>COUNTIFS('기능정의 상세'!$A$4:$A$1200,A21,'기능정의 상세'!$K$4:$K$1200,"&lt;&gt;삭제")</f>
        <v>4</v>
      </c>
      <c r="J21" s="18" t="s">
        <v>63</v>
      </c>
      <c r="K21" s="18" t="s">
        <v>17</v>
      </c>
      <c r="L21" s="9"/>
      <c r="M21" s="9"/>
      <c r="N21" s="9"/>
      <c r="O21" s="9"/>
    </row>
    <row r="22" spans="1:15">
      <c r="A22" s="18" t="s">
        <v>104</v>
      </c>
      <c r="B22" s="19" t="s">
        <v>92</v>
      </c>
      <c r="C22" s="19" t="s">
        <v>93</v>
      </c>
      <c r="D22" s="19" t="s">
        <v>97</v>
      </c>
      <c r="E22" s="19" t="s">
        <v>105</v>
      </c>
      <c r="F22" s="19" t="s">
        <v>103</v>
      </c>
      <c r="G22" s="9" t="str">
        <f t="shared" si="0"/>
        <v>백년가게 / 탐색 / 가게 상세 / 커뮤니티</v>
      </c>
      <c r="H22" s="18" t="s">
        <v>57</v>
      </c>
      <c r="I22" s="18">
        <f>COUNTIFS('기능정의 상세'!$A$4:$A$1200,A22,'기능정의 상세'!$K$4:$K$1200,"&lt;&gt;삭제")</f>
        <v>4</v>
      </c>
      <c r="J22" s="18" t="s">
        <v>63</v>
      </c>
      <c r="K22" s="18" t="s">
        <v>17</v>
      </c>
      <c r="L22" s="9"/>
      <c r="M22" s="9"/>
      <c r="N22" s="9"/>
      <c r="O22" s="9"/>
    </row>
    <row r="23" spans="1:15">
      <c r="A23" s="18" t="s">
        <v>106</v>
      </c>
      <c r="B23" s="19" t="s">
        <v>92</v>
      </c>
      <c r="C23" s="19" t="s">
        <v>93</v>
      </c>
      <c r="D23" s="19" t="s">
        <v>97</v>
      </c>
      <c r="E23" s="19" t="s">
        <v>107</v>
      </c>
      <c r="F23" s="19" t="s">
        <v>99</v>
      </c>
      <c r="G23" s="9" t="str">
        <f t="shared" si="0"/>
        <v>백년가게 / 탐색 / 가게 상세 / 혜택</v>
      </c>
      <c r="H23" s="18" t="s">
        <v>57</v>
      </c>
      <c r="I23" s="18">
        <f>COUNTIFS('기능정의 상세'!$A$4:$A$1200,A23,'기능정의 상세'!$K$4:$K$1200,"&lt;&gt;삭제")</f>
        <v>1</v>
      </c>
      <c r="J23" s="18" t="s">
        <v>63</v>
      </c>
      <c r="K23" s="18" t="s">
        <v>17</v>
      </c>
      <c r="L23" s="9"/>
      <c r="M23" s="9"/>
      <c r="N23" s="9"/>
      <c r="O23" s="9"/>
    </row>
    <row r="24" spans="1:15">
      <c r="A24" s="18" t="s">
        <v>108</v>
      </c>
      <c r="B24" s="19" t="s">
        <v>92</v>
      </c>
      <c r="C24" s="19" t="s">
        <v>109</v>
      </c>
      <c r="D24" s="19" t="s">
        <v>55</v>
      </c>
      <c r="E24" s="19" t="s">
        <v>55</v>
      </c>
      <c r="F24" s="19" t="s">
        <v>94</v>
      </c>
      <c r="G24" s="9" t="str">
        <f t="shared" si="0"/>
        <v>백년가게 / 내 주변</v>
      </c>
      <c r="H24" s="18" t="s">
        <v>57</v>
      </c>
      <c r="I24" s="18">
        <f>COUNTIFS('기능정의 상세'!$A$4:$A$1200,A24,'기능정의 상세'!$K$4:$K$1200,"&lt;&gt;삭제")</f>
        <v>5</v>
      </c>
      <c r="J24" s="18" t="s">
        <v>63</v>
      </c>
      <c r="K24" s="18" t="s">
        <v>17</v>
      </c>
      <c r="L24" s="9"/>
      <c r="M24" s="9"/>
      <c r="N24" s="9"/>
      <c r="O24" s="9"/>
    </row>
    <row r="25" spans="1:15">
      <c r="A25" s="18" t="s">
        <v>110</v>
      </c>
      <c r="B25" s="19" t="s">
        <v>92</v>
      </c>
      <c r="C25" s="19" t="s">
        <v>111</v>
      </c>
      <c r="D25" s="19" t="s">
        <v>55</v>
      </c>
      <c r="E25" s="19" t="s">
        <v>55</v>
      </c>
      <c r="F25" s="19" t="s">
        <v>56</v>
      </c>
      <c r="G25" s="9" t="str">
        <f t="shared" si="0"/>
        <v>백년가게 / 백년가게?</v>
      </c>
      <c r="H25" s="18" t="s">
        <v>57</v>
      </c>
      <c r="I25" s="18">
        <f>COUNTIFS('기능정의 상세'!$A$4:$A$1200,A25,'기능정의 상세'!$K$4:$K$1200,"&lt;&gt;삭제")</f>
        <v>1</v>
      </c>
      <c r="J25" s="18" t="s">
        <v>63</v>
      </c>
      <c r="K25" s="18" t="s">
        <v>17</v>
      </c>
      <c r="L25" s="9"/>
      <c r="M25" s="9"/>
      <c r="N25" s="9"/>
      <c r="O25" s="9"/>
    </row>
    <row r="26" spans="1:15" ht="25">
      <c r="A26" s="18" t="s">
        <v>112</v>
      </c>
      <c r="B26" s="19" t="s">
        <v>113</v>
      </c>
      <c r="C26" s="21" t="s">
        <v>102</v>
      </c>
      <c r="D26" s="19" t="s">
        <v>55</v>
      </c>
      <c r="E26" s="19" t="s">
        <v>55</v>
      </c>
      <c r="F26" s="19" t="s">
        <v>94</v>
      </c>
      <c r="G26" s="9" t="str">
        <f t="shared" si="0"/>
        <v>거래 / 종목</v>
      </c>
      <c r="H26" s="18" t="s">
        <v>57</v>
      </c>
      <c r="I26" s="18">
        <f>COUNTIFS('기능정의 상세'!$A$4:$A$1200,A26,'기능정의 상세'!$K$4:$K$1200,"&lt;&gt;삭제")</f>
        <v>11</v>
      </c>
      <c r="J26" s="18" t="s">
        <v>58</v>
      </c>
      <c r="K26" s="20" t="s">
        <v>9</v>
      </c>
      <c r="L26" s="9" t="s">
        <v>114</v>
      </c>
      <c r="M26" s="9" t="s">
        <v>115</v>
      </c>
      <c r="N26" s="9" t="s">
        <v>116</v>
      </c>
      <c r="O26" s="9"/>
    </row>
    <row r="27" spans="1:15" ht="25">
      <c r="A27" s="18" t="s">
        <v>117</v>
      </c>
      <c r="B27" s="22" t="s">
        <v>113</v>
      </c>
      <c r="C27" s="22" t="s">
        <v>102</v>
      </c>
      <c r="D27" s="22" t="s">
        <v>118</v>
      </c>
      <c r="E27" s="22" t="s">
        <v>55</v>
      </c>
      <c r="F27" s="22" t="s">
        <v>119</v>
      </c>
      <c r="G27" s="9" t="str">
        <f t="shared" si="0"/>
        <v>거래 / 종목 / 정렬</v>
      </c>
      <c r="H27" s="18"/>
      <c r="I27" s="18">
        <f>COUNTIFS('기능정의 상세'!$A$4:$A$1200,A27,'기능정의 상세'!$K$4:$K$1200,"&lt;&gt;삭제")</f>
        <v>3</v>
      </c>
      <c r="J27" s="18" t="s">
        <v>63</v>
      </c>
      <c r="K27" s="23" t="s">
        <v>7</v>
      </c>
      <c r="L27" s="9"/>
      <c r="M27" s="9" t="s">
        <v>120</v>
      </c>
      <c r="N27" s="9" t="s">
        <v>121</v>
      </c>
      <c r="O27" s="9"/>
    </row>
    <row r="28" spans="1:15">
      <c r="A28" s="18" t="s">
        <v>122</v>
      </c>
      <c r="B28" s="19" t="s">
        <v>113</v>
      </c>
      <c r="C28" s="24" t="s">
        <v>102</v>
      </c>
      <c r="D28" s="19" t="s">
        <v>123</v>
      </c>
      <c r="E28" s="19" t="s">
        <v>98</v>
      </c>
      <c r="F28" s="19" t="s">
        <v>99</v>
      </c>
      <c r="G28" s="9" t="str">
        <f t="shared" si="0"/>
        <v>거래 / 종목 / 종목상세 / 정보</v>
      </c>
      <c r="H28" s="18"/>
      <c r="I28" s="18">
        <f>COUNTIFS('기능정의 상세'!$A$4:$A$1200,A28,'기능정의 상세'!$K$4:$K$1200,"&lt;&gt;삭제")</f>
        <v>7</v>
      </c>
      <c r="J28" s="18" t="s">
        <v>63</v>
      </c>
      <c r="K28" s="25" t="s">
        <v>13</v>
      </c>
      <c r="L28" s="9" t="s">
        <v>124</v>
      </c>
      <c r="M28" s="9" t="s">
        <v>125</v>
      </c>
      <c r="N28" s="9"/>
      <c r="O28" s="9"/>
    </row>
    <row r="29" spans="1:15" ht="25">
      <c r="A29" s="18" t="s">
        <v>126</v>
      </c>
      <c r="B29" s="19" t="s">
        <v>113</v>
      </c>
      <c r="C29" s="21" t="s">
        <v>102</v>
      </c>
      <c r="D29" s="19" t="s">
        <v>123</v>
      </c>
      <c r="E29" s="19" t="s">
        <v>127</v>
      </c>
      <c r="F29" s="21" t="s">
        <v>128</v>
      </c>
      <c r="G29" s="9" t="str">
        <f t="shared" si="0"/>
        <v>거래 / 종목 / 종목상세 / 정보&gt; 예상분배금 계산기</v>
      </c>
      <c r="H29" s="18"/>
      <c r="I29" s="18">
        <f>COUNTIFS('기능정의 상세'!$A$4:$A$1200,A29,'기능정의 상세'!$K$4:$K$1200,"&lt;&gt;삭제")</f>
        <v>6</v>
      </c>
      <c r="J29" s="18" t="s">
        <v>63</v>
      </c>
      <c r="K29" s="20" t="s">
        <v>9</v>
      </c>
      <c r="L29" s="9" t="s">
        <v>129</v>
      </c>
      <c r="M29" s="9" t="s">
        <v>130</v>
      </c>
      <c r="N29" s="9"/>
      <c r="O29" s="9" t="s">
        <v>59</v>
      </c>
    </row>
    <row r="30" spans="1:15" ht="25">
      <c r="A30" s="18" t="s">
        <v>131</v>
      </c>
      <c r="B30" s="19" t="s">
        <v>113</v>
      </c>
      <c r="C30" s="21" t="s">
        <v>102</v>
      </c>
      <c r="D30" s="19" t="s">
        <v>123</v>
      </c>
      <c r="E30" s="19" t="s">
        <v>132</v>
      </c>
      <c r="F30" s="19" t="s">
        <v>94</v>
      </c>
      <c r="G30" s="9" t="str">
        <f t="shared" si="0"/>
        <v>거래 / 종목 / 종목상세 / 정보&gt; 발행공시 목록</v>
      </c>
      <c r="H30" s="18"/>
      <c r="I30" s="18">
        <f>COUNTIFS('기능정의 상세'!$A$4:$A$1200,A30,'기능정의 상세'!$K$4:$K$1200,"&lt;&gt;삭제")</f>
        <v>4</v>
      </c>
      <c r="J30" s="18" t="s">
        <v>63</v>
      </c>
      <c r="K30" s="20" t="s">
        <v>9</v>
      </c>
      <c r="L30" s="9" t="s">
        <v>133</v>
      </c>
      <c r="M30" s="9" t="s">
        <v>134</v>
      </c>
      <c r="N30" s="9"/>
      <c r="O30" s="9"/>
    </row>
    <row r="31" spans="1:15" ht="25">
      <c r="A31" s="18" t="s">
        <v>135</v>
      </c>
      <c r="B31" s="19" t="s">
        <v>113</v>
      </c>
      <c r="C31" s="21" t="s">
        <v>102</v>
      </c>
      <c r="D31" s="19" t="s">
        <v>123</v>
      </c>
      <c r="E31" s="19" t="s">
        <v>136</v>
      </c>
      <c r="F31" s="19" t="s">
        <v>56</v>
      </c>
      <c r="G31" s="9" t="str">
        <f t="shared" si="0"/>
        <v>거래 / 종목 / 종목상세 / 정보&gt; 발행공시 상세</v>
      </c>
      <c r="H31" s="18"/>
      <c r="I31" s="18">
        <f>COUNTIFS('기능정의 상세'!$A$4:$A$1200,A31,'기능정의 상세'!$K$4:$K$1200,"&lt;&gt;삭제")</f>
        <v>4</v>
      </c>
      <c r="J31" s="18" t="s">
        <v>63</v>
      </c>
      <c r="K31" s="20" t="s">
        <v>9</v>
      </c>
      <c r="L31" s="9" t="s">
        <v>137</v>
      </c>
      <c r="M31" s="9" t="s">
        <v>138</v>
      </c>
      <c r="N31" s="9"/>
      <c r="O31" s="9"/>
    </row>
    <row r="32" spans="1:15" ht="25">
      <c r="A32" s="18" t="s">
        <v>139</v>
      </c>
      <c r="B32" s="19" t="s">
        <v>113</v>
      </c>
      <c r="C32" s="21" t="s">
        <v>102</v>
      </c>
      <c r="D32" s="19" t="s">
        <v>123</v>
      </c>
      <c r="E32" s="19" t="s">
        <v>140</v>
      </c>
      <c r="F32" s="19" t="s">
        <v>94</v>
      </c>
      <c r="G32" s="9" t="str">
        <f t="shared" si="0"/>
        <v>거래 / 종목 / 종목상세 / 정보&gt; 유통공시 목록</v>
      </c>
      <c r="H32" s="18"/>
      <c r="I32" s="18">
        <f>COUNTIFS('기능정의 상세'!$A$4:$A$1200,A32,'기능정의 상세'!$K$4:$K$1200,"&lt;&gt;삭제")</f>
        <v>5</v>
      </c>
      <c r="J32" s="18" t="s">
        <v>63</v>
      </c>
      <c r="K32" s="20" t="s">
        <v>9</v>
      </c>
      <c r="L32" s="9" t="s">
        <v>141</v>
      </c>
      <c r="M32" s="9" t="s">
        <v>134</v>
      </c>
      <c r="N32" s="9"/>
      <c r="O32" s="9"/>
    </row>
    <row r="33" spans="1:15" ht="25">
      <c r="A33" s="18" t="s">
        <v>142</v>
      </c>
      <c r="B33" s="19" t="s">
        <v>113</v>
      </c>
      <c r="C33" s="21" t="s">
        <v>102</v>
      </c>
      <c r="D33" s="19" t="s">
        <v>123</v>
      </c>
      <c r="E33" s="19" t="s">
        <v>143</v>
      </c>
      <c r="F33" s="19" t="s">
        <v>56</v>
      </c>
      <c r="G33" s="9" t="str">
        <f t="shared" si="0"/>
        <v>거래 / 종목 / 종목상세 / 정보&gt; 유통공시 상세</v>
      </c>
      <c r="H33" s="18"/>
      <c r="I33" s="18">
        <f>COUNTIFS('기능정의 상세'!$A$4:$A$1200,A33,'기능정의 상세'!$K$4:$K$1200,"&lt;&gt;삭제")</f>
        <v>5</v>
      </c>
      <c r="J33" s="18" t="s">
        <v>63</v>
      </c>
      <c r="K33" s="20" t="s">
        <v>9</v>
      </c>
      <c r="L33" s="9" t="s">
        <v>144</v>
      </c>
      <c r="M33" s="9" t="s">
        <v>138</v>
      </c>
      <c r="N33" s="9"/>
      <c r="O33" s="9"/>
    </row>
    <row r="34" spans="1:15" ht="25">
      <c r="A34" s="18" t="s">
        <v>145</v>
      </c>
      <c r="B34" s="19" t="s">
        <v>113</v>
      </c>
      <c r="C34" s="21" t="s">
        <v>102</v>
      </c>
      <c r="D34" s="19" t="s">
        <v>123</v>
      </c>
      <c r="E34" s="19" t="s">
        <v>146</v>
      </c>
      <c r="F34" s="19" t="s">
        <v>99</v>
      </c>
      <c r="G34" s="9" t="str">
        <f t="shared" si="0"/>
        <v>거래 / 종목 / 종목상세 / 주문 (간편)</v>
      </c>
      <c r="H34" s="18" t="s">
        <v>57</v>
      </c>
      <c r="I34" s="18">
        <f>COUNTIFS('기능정의 상세'!$A$4:$A$1200,A34,'기능정의 상세'!$K$4:$K$1200,"&lt;&gt;삭제")</f>
        <v>7</v>
      </c>
      <c r="J34" s="18" t="s">
        <v>63</v>
      </c>
      <c r="K34" s="20" t="s">
        <v>9</v>
      </c>
      <c r="L34" s="9" t="s">
        <v>147</v>
      </c>
      <c r="M34" s="9" t="s">
        <v>148</v>
      </c>
      <c r="N34" s="9" t="s">
        <v>149</v>
      </c>
      <c r="O34" s="9"/>
    </row>
    <row r="35" spans="1:15" ht="25">
      <c r="A35" s="18" t="s">
        <v>150</v>
      </c>
      <c r="B35" s="19" t="s">
        <v>113</v>
      </c>
      <c r="C35" s="21" t="s">
        <v>102</v>
      </c>
      <c r="D35" s="19" t="s">
        <v>123</v>
      </c>
      <c r="E35" s="19" t="s">
        <v>151</v>
      </c>
      <c r="F35" s="19" t="s">
        <v>99</v>
      </c>
      <c r="G35" s="9" t="str">
        <f t="shared" si="0"/>
        <v>거래 / 종목 / 종목상세 / 주문 (간편)&gt; 구매&gt; 구매 희망가</v>
      </c>
      <c r="H35" s="18"/>
      <c r="I35" s="18">
        <f>COUNTIFS('기능정의 상세'!$A$4:$A$1200,A35,'기능정의 상세'!$K$4:$K$1200,"&lt;&gt;삭제")</f>
        <v>4</v>
      </c>
      <c r="J35" s="18" t="s">
        <v>63</v>
      </c>
      <c r="K35" s="20" t="s">
        <v>9</v>
      </c>
      <c r="L35" s="9" t="s">
        <v>152</v>
      </c>
      <c r="M35" s="9" t="s">
        <v>148</v>
      </c>
      <c r="N35" s="9"/>
      <c r="O35" s="9"/>
    </row>
    <row r="36" spans="1:15" ht="25">
      <c r="A36" s="18" t="s">
        <v>153</v>
      </c>
      <c r="B36" s="19" t="s">
        <v>113</v>
      </c>
      <c r="C36" s="21" t="s">
        <v>102</v>
      </c>
      <c r="D36" s="19" t="s">
        <v>123</v>
      </c>
      <c r="E36" s="19" t="s">
        <v>154</v>
      </c>
      <c r="F36" s="21" t="s">
        <v>128</v>
      </c>
      <c r="G36" s="9" t="str">
        <f t="shared" si="0"/>
        <v>거래 / 종목 / 종목상세 / 주문 (간편)&gt; 구매&gt; 구매 희망가&gt; 구매주문</v>
      </c>
      <c r="H36" s="18"/>
      <c r="I36" s="18">
        <f>COUNTIFS('기능정의 상세'!$A$4:$A$1200,A36,'기능정의 상세'!$K$4:$K$1200,"&lt;&gt;삭제")</f>
        <v>3</v>
      </c>
      <c r="J36" s="18" t="s">
        <v>63</v>
      </c>
      <c r="K36" s="20" t="s">
        <v>9</v>
      </c>
      <c r="L36" s="9" t="s">
        <v>155</v>
      </c>
      <c r="M36" s="9" t="s">
        <v>156</v>
      </c>
      <c r="N36" s="9"/>
      <c r="O36" s="9"/>
    </row>
    <row r="37" spans="1:15" ht="25">
      <c r="A37" s="18" t="s">
        <v>157</v>
      </c>
      <c r="B37" s="19" t="s">
        <v>113</v>
      </c>
      <c r="C37" s="21" t="s">
        <v>102</v>
      </c>
      <c r="D37" s="19" t="s">
        <v>123</v>
      </c>
      <c r="E37" s="19" t="s">
        <v>158</v>
      </c>
      <c r="F37" s="21" t="s">
        <v>56</v>
      </c>
      <c r="G37" s="9" t="str">
        <f t="shared" ref="G37:G68" si="1">B37&amp;IF(OR(C37="",C37="—"),"", " / "&amp;C37)&amp;IF(OR(D37="",D37="—"),"", " / "&amp;D37)&amp;IF(OR(E37="",E37="—"),"", " / "&amp;E37)</f>
        <v>거래 / 종목 / 종목상세 / 주문 (간편)&gt; 구매&gt; 구매 희망가&gt; 구매완료</v>
      </c>
      <c r="H37" s="18"/>
      <c r="I37" s="18">
        <f>COUNTIFS('기능정의 상세'!$A$4:$A$1200,A37,'기능정의 상세'!$K$4:$K$1200,"&lt;&gt;삭제")</f>
        <v>3</v>
      </c>
      <c r="J37" s="18" t="s">
        <v>63</v>
      </c>
      <c r="K37" s="20" t="s">
        <v>9</v>
      </c>
      <c r="L37" s="9" t="s">
        <v>159</v>
      </c>
      <c r="M37" s="9" t="s">
        <v>160</v>
      </c>
      <c r="N37" s="9"/>
      <c r="O37" s="9"/>
    </row>
    <row r="38" spans="1:15" ht="25">
      <c r="A38" s="18" t="s">
        <v>161</v>
      </c>
      <c r="B38" s="19" t="s">
        <v>113</v>
      </c>
      <c r="C38" s="21" t="s">
        <v>102</v>
      </c>
      <c r="D38" s="19" t="s">
        <v>123</v>
      </c>
      <c r="E38" s="19" t="s">
        <v>162</v>
      </c>
      <c r="F38" s="19" t="s">
        <v>99</v>
      </c>
      <c r="G38" s="9" t="str">
        <f t="shared" si="1"/>
        <v>거래 / 종목 / 종목상세 / 주문 (간편)&gt; 구매&gt; AI매칭</v>
      </c>
      <c r="H38" s="18"/>
      <c r="I38" s="18">
        <f>COUNTIFS('기능정의 상세'!$A$4:$A$1200,A38,'기능정의 상세'!$K$4:$K$1200,"&lt;&gt;삭제")</f>
        <v>4</v>
      </c>
      <c r="J38" s="18" t="s">
        <v>63</v>
      </c>
      <c r="K38" s="20" t="s">
        <v>9</v>
      </c>
      <c r="L38" s="9" t="s">
        <v>163</v>
      </c>
      <c r="M38" s="9" t="s">
        <v>164</v>
      </c>
      <c r="N38" s="9"/>
      <c r="O38" s="9"/>
    </row>
    <row r="39" spans="1:15" ht="25">
      <c r="A39" s="18" t="s">
        <v>165</v>
      </c>
      <c r="B39" s="19" t="s">
        <v>113</v>
      </c>
      <c r="C39" s="21" t="s">
        <v>102</v>
      </c>
      <c r="D39" s="19" t="s">
        <v>123</v>
      </c>
      <c r="E39" s="19" t="s">
        <v>166</v>
      </c>
      <c r="F39" s="21" t="s">
        <v>128</v>
      </c>
      <c r="G39" s="9" t="str">
        <f t="shared" si="1"/>
        <v>거래 / 종목 / 종목상세 / 주문 (간편)&gt; 구매&gt; AI매칭&gt; 구매주문</v>
      </c>
      <c r="H39" s="18"/>
      <c r="I39" s="18">
        <f>COUNTIFS('기능정의 상세'!$A$4:$A$1200,A39,'기능정의 상세'!$K$4:$K$1200,"&lt;&gt;삭제")</f>
        <v>5</v>
      </c>
      <c r="J39" s="18" t="s">
        <v>63</v>
      </c>
      <c r="K39" s="20" t="s">
        <v>9</v>
      </c>
      <c r="L39" s="9" t="s">
        <v>167</v>
      </c>
      <c r="M39" s="9" t="s">
        <v>156</v>
      </c>
      <c r="N39" s="9"/>
      <c r="O39" s="9"/>
    </row>
    <row r="40" spans="1:15" ht="25">
      <c r="A40" s="18" t="s">
        <v>168</v>
      </c>
      <c r="B40" s="19" t="s">
        <v>113</v>
      </c>
      <c r="C40" s="21" t="s">
        <v>102</v>
      </c>
      <c r="D40" s="19" t="s">
        <v>123</v>
      </c>
      <c r="E40" s="19" t="s">
        <v>169</v>
      </c>
      <c r="F40" s="21" t="s">
        <v>56</v>
      </c>
      <c r="G40" s="9" t="str">
        <f t="shared" si="1"/>
        <v>거래 / 종목 / 종목상세 / 주문 (간편)&gt; 구매&gt; AI매칭&gt; 구매완료</v>
      </c>
      <c r="H40" s="18"/>
      <c r="I40" s="18">
        <f>COUNTIFS('기능정의 상세'!$A$4:$A$1200,A40,'기능정의 상세'!$K$4:$K$1200,"&lt;&gt;삭제")</f>
        <v>4</v>
      </c>
      <c r="J40" s="18" t="s">
        <v>63</v>
      </c>
      <c r="K40" s="20" t="s">
        <v>9</v>
      </c>
      <c r="L40" s="9" t="s">
        <v>170</v>
      </c>
      <c r="M40" s="9" t="s">
        <v>160</v>
      </c>
      <c r="N40" s="9"/>
      <c r="O40" s="9"/>
    </row>
    <row r="41" spans="1:15" ht="25">
      <c r="A41" s="18" t="s">
        <v>171</v>
      </c>
      <c r="B41" s="19" t="s">
        <v>113</v>
      </c>
      <c r="C41" s="21" t="s">
        <v>102</v>
      </c>
      <c r="D41" s="19" t="s">
        <v>123</v>
      </c>
      <c r="E41" s="19" t="s">
        <v>172</v>
      </c>
      <c r="F41" s="19" t="s">
        <v>99</v>
      </c>
      <c r="G41" s="9" t="str">
        <f t="shared" si="1"/>
        <v>거래 / 종목 / 종목상세 / 주문 (간편)&gt; 판매&gt; 판매 희망가</v>
      </c>
      <c r="H41" s="18"/>
      <c r="I41" s="18">
        <f>COUNTIFS('기능정의 상세'!$A$4:$A$1200,A41,'기능정의 상세'!$K$4:$K$1200,"&lt;&gt;삭제")</f>
        <v>4</v>
      </c>
      <c r="J41" s="18" t="s">
        <v>63</v>
      </c>
      <c r="K41" s="20" t="s">
        <v>9</v>
      </c>
      <c r="L41" s="9" t="s">
        <v>173</v>
      </c>
      <c r="M41" s="9" t="s">
        <v>148</v>
      </c>
      <c r="N41" s="9"/>
      <c r="O41" s="9"/>
    </row>
    <row r="42" spans="1:15" ht="25">
      <c r="A42" s="18" t="s">
        <v>174</v>
      </c>
      <c r="B42" s="19" t="s">
        <v>113</v>
      </c>
      <c r="C42" s="21" t="s">
        <v>102</v>
      </c>
      <c r="D42" s="19" t="s">
        <v>123</v>
      </c>
      <c r="E42" s="19" t="s">
        <v>175</v>
      </c>
      <c r="F42" s="21" t="s">
        <v>128</v>
      </c>
      <c r="G42" s="9" t="str">
        <f t="shared" si="1"/>
        <v>거래 / 종목 / 종목상세 / 주문 (간편)&gt; 판매&gt; 판매 희망가&gt; 판매주문</v>
      </c>
      <c r="H42" s="18"/>
      <c r="I42" s="18">
        <f>COUNTIFS('기능정의 상세'!$A$4:$A$1200,A42,'기능정의 상세'!$K$4:$K$1200,"&lt;&gt;삭제")</f>
        <v>3</v>
      </c>
      <c r="J42" s="18" t="s">
        <v>63</v>
      </c>
      <c r="K42" s="20" t="s">
        <v>9</v>
      </c>
      <c r="L42" s="9" t="s">
        <v>176</v>
      </c>
      <c r="M42" s="9" t="s">
        <v>156</v>
      </c>
      <c r="N42" s="9"/>
      <c r="O42" s="9"/>
    </row>
    <row r="43" spans="1:15" ht="25">
      <c r="A43" s="18" t="s">
        <v>177</v>
      </c>
      <c r="B43" s="19" t="s">
        <v>113</v>
      </c>
      <c r="C43" s="21" t="s">
        <v>102</v>
      </c>
      <c r="D43" s="19" t="s">
        <v>123</v>
      </c>
      <c r="E43" s="19" t="s">
        <v>178</v>
      </c>
      <c r="F43" s="21" t="s">
        <v>56</v>
      </c>
      <c r="G43" s="9" t="str">
        <f t="shared" si="1"/>
        <v>거래 / 종목 / 종목상세 / 주문 (간편)&gt; 판매&gt; 판매 희망가&gt; 판매완료</v>
      </c>
      <c r="H43" s="18"/>
      <c r="I43" s="18">
        <f>COUNTIFS('기능정의 상세'!$A$4:$A$1200,A43,'기능정의 상세'!$K$4:$K$1200,"&lt;&gt;삭제")</f>
        <v>3</v>
      </c>
      <c r="J43" s="18" t="s">
        <v>63</v>
      </c>
      <c r="K43" s="20" t="s">
        <v>9</v>
      </c>
      <c r="L43" s="9" t="s">
        <v>179</v>
      </c>
      <c r="M43" s="9" t="s">
        <v>160</v>
      </c>
      <c r="N43" s="9"/>
      <c r="O43" s="9"/>
    </row>
    <row r="44" spans="1:15" ht="25">
      <c r="A44" s="18" t="s">
        <v>180</v>
      </c>
      <c r="B44" s="19" t="s">
        <v>113</v>
      </c>
      <c r="C44" s="21" t="s">
        <v>102</v>
      </c>
      <c r="D44" s="19" t="s">
        <v>123</v>
      </c>
      <c r="E44" s="19" t="s">
        <v>181</v>
      </c>
      <c r="F44" s="19" t="s">
        <v>99</v>
      </c>
      <c r="G44" s="9" t="str">
        <f t="shared" si="1"/>
        <v>거래 / 종목 / 종목상세 / 주문 (간편)&gt; 판매&gt; AI매칭</v>
      </c>
      <c r="H44" s="18"/>
      <c r="I44" s="18">
        <f>COUNTIFS('기능정의 상세'!$A$4:$A$1200,A44,'기능정의 상세'!$K$4:$K$1200,"&lt;&gt;삭제")</f>
        <v>4</v>
      </c>
      <c r="J44" s="18" t="s">
        <v>63</v>
      </c>
      <c r="K44" s="20" t="s">
        <v>9</v>
      </c>
      <c r="L44" s="9" t="s">
        <v>182</v>
      </c>
      <c r="M44" s="9" t="s">
        <v>164</v>
      </c>
      <c r="N44" s="9"/>
      <c r="O44" s="9"/>
    </row>
    <row r="45" spans="1:15" ht="25">
      <c r="A45" s="18" t="s">
        <v>183</v>
      </c>
      <c r="B45" s="19" t="s">
        <v>113</v>
      </c>
      <c r="C45" s="21" t="s">
        <v>102</v>
      </c>
      <c r="D45" s="19" t="s">
        <v>123</v>
      </c>
      <c r="E45" s="19" t="s">
        <v>184</v>
      </c>
      <c r="F45" s="21" t="s">
        <v>128</v>
      </c>
      <c r="G45" s="9" t="str">
        <f t="shared" si="1"/>
        <v>거래 / 종목 / 종목상세 / 주문 (간편)&gt; 판매&gt; AI매칭&gt; 판매주문</v>
      </c>
      <c r="H45" s="18"/>
      <c r="I45" s="18">
        <f>COUNTIFS('기능정의 상세'!$A$4:$A$1200,A45,'기능정의 상세'!$K$4:$K$1200,"&lt;&gt;삭제")</f>
        <v>5</v>
      </c>
      <c r="J45" s="18" t="s">
        <v>63</v>
      </c>
      <c r="K45" s="20" t="s">
        <v>9</v>
      </c>
      <c r="L45" s="9" t="s">
        <v>185</v>
      </c>
      <c r="M45" s="9" t="s">
        <v>156</v>
      </c>
      <c r="N45" s="9"/>
      <c r="O45" s="9"/>
    </row>
    <row r="46" spans="1:15" ht="25">
      <c r="A46" s="18" t="s">
        <v>186</v>
      </c>
      <c r="B46" s="19" t="s">
        <v>113</v>
      </c>
      <c r="C46" s="21" t="s">
        <v>102</v>
      </c>
      <c r="D46" s="19" t="s">
        <v>123</v>
      </c>
      <c r="E46" s="19" t="s">
        <v>187</v>
      </c>
      <c r="F46" s="21" t="s">
        <v>56</v>
      </c>
      <c r="G46" s="9" t="str">
        <f t="shared" si="1"/>
        <v>거래 / 종목 / 종목상세 / 주문 (간편)&gt; 판매&gt; AI매칭&gt; 판매완료</v>
      </c>
      <c r="H46" s="18"/>
      <c r="I46" s="18">
        <f>COUNTIFS('기능정의 상세'!$A$4:$A$1200,A46,'기능정의 상세'!$K$4:$K$1200,"&lt;&gt;삭제")</f>
        <v>3</v>
      </c>
      <c r="J46" s="18" t="s">
        <v>63</v>
      </c>
      <c r="K46" s="20" t="s">
        <v>9</v>
      </c>
      <c r="L46" s="9" t="s">
        <v>188</v>
      </c>
      <c r="M46" s="9" t="s">
        <v>160</v>
      </c>
      <c r="N46" s="9"/>
      <c r="O46" s="9"/>
    </row>
    <row r="47" spans="1:15">
      <c r="A47" s="18" t="s">
        <v>189</v>
      </c>
      <c r="B47" s="19" t="s">
        <v>113</v>
      </c>
      <c r="C47" s="21" t="s">
        <v>102</v>
      </c>
      <c r="D47" s="19" t="s">
        <v>123</v>
      </c>
      <c r="E47" s="19" t="s">
        <v>190</v>
      </c>
      <c r="F47" s="19" t="s">
        <v>99</v>
      </c>
      <c r="G47" s="9" t="str">
        <f t="shared" si="1"/>
        <v>거래 / 종목 / 종목상세 / 주문 (간편)&gt; 대기</v>
      </c>
      <c r="H47" s="18"/>
      <c r="I47" s="18">
        <f>COUNTIFS('기능정의 상세'!$A$4:$A$1200,A47,'기능정의 상세'!$K$4:$K$1200,"&lt;&gt;삭제")</f>
        <v>5</v>
      </c>
      <c r="J47" s="18" t="s">
        <v>63</v>
      </c>
      <c r="K47" s="20" t="s">
        <v>9</v>
      </c>
      <c r="L47" s="9" t="s">
        <v>191</v>
      </c>
      <c r="M47" s="9" t="s">
        <v>192</v>
      </c>
      <c r="N47" s="9"/>
      <c r="O47" s="9"/>
    </row>
    <row r="48" spans="1:15">
      <c r="A48" s="18" t="s">
        <v>193</v>
      </c>
      <c r="B48" s="19" t="s">
        <v>113</v>
      </c>
      <c r="C48" s="24" t="s">
        <v>102</v>
      </c>
      <c r="D48" s="19" t="s">
        <v>123</v>
      </c>
      <c r="E48" s="19" t="s">
        <v>194</v>
      </c>
      <c r="F48" s="19" t="s">
        <v>56</v>
      </c>
      <c r="G48" s="9" t="str">
        <f t="shared" si="1"/>
        <v>거래 / 종목 / 종목상세 / 주문 (간편)&gt; 대기&gt; 수정&gt; 취소</v>
      </c>
      <c r="H48" s="18"/>
      <c r="I48" s="18">
        <f>COUNTIFS('기능정의 상세'!$A$4:$A$1200,A48,'기능정의 상세'!$K$4:$K$1200,"&lt;&gt;삭제")</f>
        <v>4</v>
      </c>
      <c r="J48" s="18" t="s">
        <v>63</v>
      </c>
      <c r="K48" s="25" t="s">
        <v>13</v>
      </c>
      <c r="L48" s="9" t="s">
        <v>195</v>
      </c>
      <c r="M48" s="9" t="s">
        <v>125</v>
      </c>
      <c r="N48" s="9"/>
      <c r="O48" s="9"/>
    </row>
    <row r="49" spans="1:15">
      <c r="A49" s="18" t="s">
        <v>196</v>
      </c>
      <c r="B49" s="19" t="s">
        <v>113</v>
      </c>
      <c r="C49" s="24" t="s">
        <v>102</v>
      </c>
      <c r="D49" s="19" t="s">
        <v>123</v>
      </c>
      <c r="E49" s="19" t="s">
        <v>197</v>
      </c>
      <c r="F49" s="19" t="s">
        <v>99</v>
      </c>
      <c r="G49" s="9" t="str">
        <f t="shared" si="1"/>
        <v>거래 / 종목 / 종목상세 / 주문 (일반)</v>
      </c>
      <c r="H49" s="18" t="s">
        <v>57</v>
      </c>
      <c r="I49" s="18">
        <f>COUNTIFS('기능정의 상세'!$A$4:$A$1200,A49,'기능정의 상세'!$K$4:$K$1200,"&lt;&gt;삭제")</f>
        <v>5</v>
      </c>
      <c r="J49" s="18" t="s">
        <v>63</v>
      </c>
      <c r="K49" s="25" t="s">
        <v>13</v>
      </c>
      <c r="L49" s="9" t="s">
        <v>198</v>
      </c>
      <c r="M49" s="9" t="s">
        <v>125</v>
      </c>
      <c r="N49" s="9" t="s">
        <v>149</v>
      </c>
      <c r="O49" s="9"/>
    </row>
    <row r="50" spans="1:15" ht="25">
      <c r="A50" s="18" t="s">
        <v>199</v>
      </c>
      <c r="B50" s="19" t="s">
        <v>113</v>
      </c>
      <c r="C50" s="24" t="s">
        <v>102</v>
      </c>
      <c r="D50" s="19" t="s">
        <v>123</v>
      </c>
      <c r="E50" s="19" t="s">
        <v>200</v>
      </c>
      <c r="F50" s="19" t="s">
        <v>56</v>
      </c>
      <c r="G50" s="9" t="str">
        <f t="shared" si="1"/>
        <v>거래 / 종목 / 종목상세 / 주문 (일반)&gt; 구매&gt; 구매희망가</v>
      </c>
      <c r="H50" s="18"/>
      <c r="I50" s="18">
        <f>COUNTIFS('기능정의 상세'!$A$4:$A$1200,A50,'기능정의 상세'!$K$4:$K$1200,"&lt;&gt;삭제")</f>
        <v>3</v>
      </c>
      <c r="J50" s="18" t="s">
        <v>63</v>
      </c>
      <c r="K50" s="25" t="s">
        <v>13</v>
      </c>
      <c r="L50" s="9" t="s">
        <v>201</v>
      </c>
      <c r="M50" s="9" t="s">
        <v>125</v>
      </c>
      <c r="N50" s="9"/>
      <c r="O50" s="9" t="s">
        <v>59</v>
      </c>
    </row>
    <row r="51" spans="1:15" ht="25">
      <c r="A51" s="18" t="s">
        <v>202</v>
      </c>
      <c r="B51" s="19" t="s">
        <v>113</v>
      </c>
      <c r="C51" s="24" t="s">
        <v>102</v>
      </c>
      <c r="D51" s="19" t="s">
        <v>123</v>
      </c>
      <c r="E51" s="19" t="s">
        <v>203</v>
      </c>
      <c r="F51" s="19" t="s">
        <v>56</v>
      </c>
      <c r="G51" s="9" t="str">
        <f t="shared" si="1"/>
        <v>거래 / 종목 / 종목상세 / 주문 (일반)&gt; 구매&gt; 구매희망가_가격 및 수량 입력(1&gt; 3)</v>
      </c>
      <c r="H51" s="18"/>
      <c r="I51" s="18">
        <f>COUNTIFS('기능정의 상세'!$A$4:$A$1200,A51,'기능정의 상세'!$K$4:$K$1200,"&lt;&gt;삭제")</f>
        <v>3</v>
      </c>
      <c r="J51" s="18" t="s">
        <v>63</v>
      </c>
      <c r="K51" s="25" t="s">
        <v>13</v>
      </c>
      <c r="L51" s="9" t="s">
        <v>204</v>
      </c>
      <c r="M51" s="9" t="s">
        <v>125</v>
      </c>
      <c r="N51" s="9"/>
      <c r="O51" s="9" t="s">
        <v>59</v>
      </c>
    </row>
    <row r="52" spans="1:15" ht="25">
      <c r="A52" s="18" t="s">
        <v>205</v>
      </c>
      <c r="B52" s="19" t="s">
        <v>113</v>
      </c>
      <c r="C52" s="24" t="s">
        <v>102</v>
      </c>
      <c r="D52" s="19" t="s">
        <v>123</v>
      </c>
      <c r="E52" s="19" t="s">
        <v>206</v>
      </c>
      <c r="F52" s="19" t="s">
        <v>56</v>
      </c>
      <c r="G52" s="9" t="str">
        <f t="shared" si="1"/>
        <v>거래 / 종목 / 종목상세 / 주문 (일반)&gt; 구매&gt; 구매희망가_가격 및 수량 입력(2&gt; 3)</v>
      </c>
      <c r="H52" s="18"/>
      <c r="I52" s="18">
        <f>COUNTIFS('기능정의 상세'!$A$4:$A$1200,A52,'기능정의 상세'!$K$4:$K$1200,"&lt;&gt;삭제")</f>
        <v>3</v>
      </c>
      <c r="J52" s="18" t="s">
        <v>63</v>
      </c>
      <c r="K52" s="25" t="s">
        <v>13</v>
      </c>
      <c r="L52" s="9" t="s">
        <v>207</v>
      </c>
      <c r="M52" s="9" t="s">
        <v>125</v>
      </c>
      <c r="N52" s="9"/>
      <c r="O52" s="9" t="s">
        <v>59</v>
      </c>
    </row>
    <row r="53" spans="1:15" ht="25">
      <c r="A53" s="18" t="s">
        <v>208</v>
      </c>
      <c r="B53" s="19" t="s">
        <v>113</v>
      </c>
      <c r="C53" s="21" t="s">
        <v>102</v>
      </c>
      <c r="D53" s="19" t="s">
        <v>123</v>
      </c>
      <c r="E53" s="19" t="s">
        <v>209</v>
      </c>
      <c r="F53" s="19" t="s">
        <v>56</v>
      </c>
      <c r="G53" s="9" t="str">
        <f t="shared" si="1"/>
        <v>거래 / 종목 / 종목상세 / 주문 (일반)&gt; 구매&gt; 구매희망가_가격 및 수량 입력(3&gt; 3)</v>
      </c>
      <c r="H53" s="18"/>
      <c r="I53" s="18">
        <f>COUNTIFS('기능정의 상세'!$A$4:$A$1200,A53,'기능정의 상세'!$K$4:$K$1200,"&lt;&gt;삭제")</f>
        <v>2</v>
      </c>
      <c r="J53" s="18" t="s">
        <v>63</v>
      </c>
      <c r="K53" s="20" t="s">
        <v>9</v>
      </c>
      <c r="L53" s="9" t="s">
        <v>210</v>
      </c>
      <c r="M53" s="9" t="s">
        <v>148</v>
      </c>
      <c r="N53" s="9"/>
      <c r="O53" s="9" t="s">
        <v>59</v>
      </c>
    </row>
    <row r="54" spans="1:15" ht="25">
      <c r="A54" s="18" t="s">
        <v>211</v>
      </c>
      <c r="B54" s="19" t="s">
        <v>113</v>
      </c>
      <c r="C54" s="21" t="s">
        <v>102</v>
      </c>
      <c r="D54" s="19" t="s">
        <v>123</v>
      </c>
      <c r="E54" s="19" t="s">
        <v>212</v>
      </c>
      <c r="F54" s="21" t="s">
        <v>128</v>
      </c>
      <c r="G54" s="9" t="str">
        <f t="shared" si="1"/>
        <v>거래 / 종목 / 종목상세 / 주문 (일반)&gt; 구매&gt; 구매희망가&gt; 구매주문</v>
      </c>
      <c r="H54" s="18"/>
      <c r="I54" s="18">
        <f>COUNTIFS('기능정의 상세'!$A$4:$A$1200,A54,'기능정의 상세'!$K$4:$K$1200,"&lt;&gt;삭제")</f>
        <v>3</v>
      </c>
      <c r="J54" s="18" t="s">
        <v>63</v>
      </c>
      <c r="K54" s="20" t="s">
        <v>9</v>
      </c>
      <c r="L54" s="9" t="s">
        <v>213</v>
      </c>
      <c r="M54" s="9" t="s">
        <v>214</v>
      </c>
      <c r="N54" s="9"/>
      <c r="O54" s="9" t="s">
        <v>59</v>
      </c>
    </row>
    <row r="55" spans="1:15" ht="25">
      <c r="A55" s="18" t="s">
        <v>215</v>
      </c>
      <c r="B55" s="19" t="s">
        <v>113</v>
      </c>
      <c r="C55" s="24" t="s">
        <v>102</v>
      </c>
      <c r="D55" s="19" t="s">
        <v>123</v>
      </c>
      <c r="E55" s="19" t="s">
        <v>216</v>
      </c>
      <c r="F55" s="19" t="s">
        <v>56</v>
      </c>
      <c r="G55" s="9" t="str">
        <f t="shared" si="1"/>
        <v>거래 / 종목 / 종목상세 / 주문 (일반)&gt; 구매&gt; 구매희망가&gt; 주문완료</v>
      </c>
      <c r="H55" s="18"/>
      <c r="I55" s="18">
        <f>COUNTIFS('기능정의 상세'!$A$4:$A$1200,A55,'기능정의 상세'!$K$4:$K$1200,"&lt;&gt;삭제")</f>
        <v>3</v>
      </c>
      <c r="J55" s="18" t="s">
        <v>63</v>
      </c>
      <c r="K55" s="25" t="s">
        <v>13</v>
      </c>
      <c r="L55" s="9" t="s">
        <v>217</v>
      </c>
      <c r="M55" s="9" t="s">
        <v>125</v>
      </c>
      <c r="N55" s="9"/>
      <c r="O55" s="9" t="s">
        <v>59</v>
      </c>
    </row>
    <row r="56" spans="1:15" ht="25">
      <c r="A56" s="18" t="s">
        <v>218</v>
      </c>
      <c r="B56" s="19" t="s">
        <v>113</v>
      </c>
      <c r="C56" s="21" t="s">
        <v>102</v>
      </c>
      <c r="D56" s="19" t="s">
        <v>123</v>
      </c>
      <c r="E56" s="19" t="s">
        <v>219</v>
      </c>
      <c r="F56" s="19" t="s">
        <v>56</v>
      </c>
      <c r="G56" s="9" t="str">
        <f t="shared" si="1"/>
        <v>거래 / 종목 / 종목상세 / 주문 (일반)&gt; 구매&gt; AI매칭_수량입력(1&gt; 3)</v>
      </c>
      <c r="H56" s="18"/>
      <c r="I56" s="18">
        <f>COUNTIFS('기능정의 상세'!$A$4:$A$1200,A56,'기능정의 상세'!$K$4:$K$1200,"&lt;&gt;삭제")</f>
        <v>4</v>
      </c>
      <c r="J56" s="18" t="s">
        <v>63</v>
      </c>
      <c r="K56" s="20" t="s">
        <v>9</v>
      </c>
      <c r="L56" s="9" t="s">
        <v>220</v>
      </c>
      <c r="M56" s="9" t="s">
        <v>221</v>
      </c>
      <c r="N56" s="9"/>
      <c r="O56" s="9" t="s">
        <v>59</v>
      </c>
    </row>
    <row r="57" spans="1:15" ht="25">
      <c r="A57" s="18" t="s">
        <v>222</v>
      </c>
      <c r="B57" s="19" t="s">
        <v>113</v>
      </c>
      <c r="C57" s="21" t="s">
        <v>102</v>
      </c>
      <c r="D57" s="19" t="s">
        <v>123</v>
      </c>
      <c r="E57" s="19" t="s">
        <v>223</v>
      </c>
      <c r="F57" s="19" t="s">
        <v>56</v>
      </c>
      <c r="G57" s="9" t="str">
        <f t="shared" si="1"/>
        <v>거래 / 종목 / 종목상세 / 주문 (일반)&gt; 구매&gt; AI매칭_수량입력(2&gt; 3)</v>
      </c>
      <c r="H57" s="18"/>
      <c r="I57" s="18">
        <f>COUNTIFS('기능정의 상세'!$A$4:$A$1200,A57,'기능정의 상세'!$K$4:$K$1200,"&lt;&gt;삭제")</f>
        <v>3</v>
      </c>
      <c r="J57" s="18" t="s">
        <v>63</v>
      </c>
      <c r="K57" s="20" t="s">
        <v>9</v>
      </c>
      <c r="L57" s="9" t="s">
        <v>224</v>
      </c>
      <c r="M57" s="9" t="s">
        <v>225</v>
      </c>
      <c r="N57" s="9"/>
      <c r="O57" s="9" t="s">
        <v>59</v>
      </c>
    </row>
    <row r="58" spans="1:15" ht="25">
      <c r="A58" s="18" t="s">
        <v>226</v>
      </c>
      <c r="B58" s="19" t="s">
        <v>113</v>
      </c>
      <c r="C58" s="21" t="s">
        <v>102</v>
      </c>
      <c r="D58" s="19" t="s">
        <v>123</v>
      </c>
      <c r="E58" s="19" t="s">
        <v>227</v>
      </c>
      <c r="F58" s="19" t="s">
        <v>56</v>
      </c>
      <c r="G58" s="9" t="str">
        <f t="shared" si="1"/>
        <v>거래 / 종목 / 종목상세 / 주문 (일반)&gt; 구매&gt; AI매칭_수량입력(3&gt; 3)</v>
      </c>
      <c r="H58" s="18"/>
      <c r="I58" s="18">
        <f>COUNTIFS('기능정의 상세'!$A$4:$A$1200,A58,'기능정의 상세'!$K$4:$K$1200,"&lt;&gt;삭제")</f>
        <v>2</v>
      </c>
      <c r="J58" s="18" t="s">
        <v>63</v>
      </c>
      <c r="K58" s="20" t="s">
        <v>9</v>
      </c>
      <c r="L58" s="9" t="s">
        <v>228</v>
      </c>
      <c r="M58" s="9" t="s">
        <v>225</v>
      </c>
      <c r="N58" s="9"/>
      <c r="O58" s="9" t="s">
        <v>59</v>
      </c>
    </row>
    <row r="59" spans="1:15" ht="25">
      <c r="A59" s="18" t="s">
        <v>229</v>
      </c>
      <c r="B59" s="19" t="s">
        <v>113</v>
      </c>
      <c r="C59" s="21" t="s">
        <v>102</v>
      </c>
      <c r="D59" s="19" t="s">
        <v>123</v>
      </c>
      <c r="E59" s="19" t="s">
        <v>230</v>
      </c>
      <c r="F59" s="19" t="s">
        <v>56</v>
      </c>
      <c r="G59" s="9" t="str">
        <f t="shared" si="1"/>
        <v>거래 / 종목 / 종목상세 / 주문 (일반)&gt; 구매&gt; AI매칭_매칭 가능 호가 없는 경우</v>
      </c>
      <c r="H59" s="18"/>
      <c r="I59" s="18">
        <f>COUNTIFS('기능정의 상세'!$A$4:$A$1200,A59,'기능정의 상세'!$K$4:$K$1200,"&lt;&gt;삭제")</f>
        <v>2</v>
      </c>
      <c r="J59" s="18" t="s">
        <v>63</v>
      </c>
      <c r="K59" s="20" t="s">
        <v>9</v>
      </c>
      <c r="L59" s="9" t="s">
        <v>231</v>
      </c>
      <c r="M59" s="9" t="s">
        <v>225</v>
      </c>
      <c r="N59" s="9"/>
      <c r="O59" s="9" t="s">
        <v>59</v>
      </c>
    </row>
    <row r="60" spans="1:15" ht="25">
      <c r="A60" s="18" t="s">
        <v>232</v>
      </c>
      <c r="B60" s="19" t="s">
        <v>113</v>
      </c>
      <c r="C60" s="21" t="s">
        <v>102</v>
      </c>
      <c r="D60" s="19" t="s">
        <v>123</v>
      </c>
      <c r="E60" s="19" t="s">
        <v>233</v>
      </c>
      <c r="F60" s="19" t="s">
        <v>56</v>
      </c>
      <c r="G60" s="9" t="str">
        <f t="shared" si="1"/>
        <v>거래 / 종목 / 종목상세 / 주문 (일반)&gt; 구매&gt; AI매칭_매칭 가능 호가 있는 경우</v>
      </c>
      <c r="H60" s="18"/>
      <c r="I60" s="18">
        <f>COUNTIFS('기능정의 상세'!$A$4:$A$1200,A60,'기능정의 상세'!$K$4:$K$1200,"&lt;&gt;삭제")</f>
        <v>2</v>
      </c>
      <c r="J60" s="18" t="s">
        <v>63</v>
      </c>
      <c r="K60" s="20" t="s">
        <v>9</v>
      </c>
      <c r="L60" s="9" t="s">
        <v>234</v>
      </c>
      <c r="M60" s="9" t="s">
        <v>225</v>
      </c>
      <c r="N60" s="9"/>
      <c r="O60" s="9" t="s">
        <v>59</v>
      </c>
    </row>
    <row r="61" spans="1:15" ht="25">
      <c r="A61" s="18" t="s">
        <v>235</v>
      </c>
      <c r="B61" s="19" t="s">
        <v>113</v>
      </c>
      <c r="C61" s="21" t="s">
        <v>102</v>
      </c>
      <c r="D61" s="19" t="s">
        <v>123</v>
      </c>
      <c r="E61" s="19" t="s">
        <v>236</v>
      </c>
      <c r="F61" s="21" t="s">
        <v>128</v>
      </c>
      <c r="G61" s="9" t="str">
        <f t="shared" si="1"/>
        <v>거래 / 종목 / 종목상세 / 주문 (일반)&gt; 구매&gt; AI매칭&gt; 구매주문</v>
      </c>
      <c r="H61" s="18"/>
      <c r="I61" s="18">
        <f>COUNTIFS('기능정의 상세'!$A$4:$A$1200,A61,'기능정의 상세'!$K$4:$K$1200,"&lt;&gt;삭제")</f>
        <v>4</v>
      </c>
      <c r="J61" s="18" t="s">
        <v>63</v>
      </c>
      <c r="K61" s="20" t="s">
        <v>9</v>
      </c>
      <c r="L61" s="9" t="s">
        <v>237</v>
      </c>
      <c r="M61" s="9" t="s">
        <v>214</v>
      </c>
      <c r="N61" s="9"/>
      <c r="O61" s="9" t="s">
        <v>59</v>
      </c>
    </row>
    <row r="62" spans="1:15" ht="25">
      <c r="A62" s="18" t="s">
        <v>238</v>
      </c>
      <c r="B62" s="19" t="s">
        <v>113</v>
      </c>
      <c r="C62" s="21" t="s">
        <v>102</v>
      </c>
      <c r="D62" s="19" t="s">
        <v>123</v>
      </c>
      <c r="E62" s="19" t="s">
        <v>239</v>
      </c>
      <c r="F62" s="19" t="s">
        <v>56</v>
      </c>
      <c r="G62" s="9" t="str">
        <f t="shared" si="1"/>
        <v>거래 / 종목 / 종목상세 / 주문 (일반)&gt; 구매&gt; AI매칭&gt; 주문완료</v>
      </c>
      <c r="H62" s="18"/>
      <c r="I62" s="18">
        <f>COUNTIFS('기능정의 상세'!$A$4:$A$1200,A62,'기능정의 상세'!$K$4:$K$1200,"&lt;&gt;삭제")</f>
        <v>3</v>
      </c>
      <c r="J62" s="18" t="s">
        <v>63</v>
      </c>
      <c r="K62" s="20" t="s">
        <v>9</v>
      </c>
      <c r="L62" s="9" t="s">
        <v>240</v>
      </c>
      <c r="M62" s="9" t="s">
        <v>148</v>
      </c>
      <c r="N62" s="9"/>
      <c r="O62" s="9" t="s">
        <v>59</v>
      </c>
    </row>
    <row r="63" spans="1:15" ht="25">
      <c r="A63" s="18" t="s">
        <v>241</v>
      </c>
      <c r="B63" s="19" t="s">
        <v>113</v>
      </c>
      <c r="C63" s="24" t="s">
        <v>102</v>
      </c>
      <c r="D63" s="19" t="s">
        <v>123</v>
      </c>
      <c r="E63" s="19" t="s">
        <v>242</v>
      </c>
      <c r="F63" s="19" t="s">
        <v>56</v>
      </c>
      <c r="G63" s="9" t="str">
        <f t="shared" si="1"/>
        <v>거래 / 종목 / 종목상세 / 주문 (일반)&gt; 판매&gt; 판매희망가</v>
      </c>
      <c r="H63" s="18"/>
      <c r="I63" s="18">
        <f>COUNTIFS('기능정의 상세'!$A$4:$A$1200,A63,'기능정의 상세'!$K$4:$K$1200,"&lt;&gt;삭제")</f>
        <v>4</v>
      </c>
      <c r="J63" s="18" t="s">
        <v>63</v>
      </c>
      <c r="K63" s="25" t="s">
        <v>13</v>
      </c>
      <c r="L63" s="9" t="s">
        <v>243</v>
      </c>
      <c r="M63" s="9" t="s">
        <v>125</v>
      </c>
      <c r="N63" s="9"/>
      <c r="O63" s="9" t="s">
        <v>59</v>
      </c>
    </row>
    <row r="64" spans="1:15">
      <c r="A64" s="18" t="s">
        <v>244</v>
      </c>
      <c r="B64" s="19" t="s">
        <v>113</v>
      </c>
      <c r="C64" s="21" t="s">
        <v>102</v>
      </c>
      <c r="D64" s="19" t="s">
        <v>123</v>
      </c>
      <c r="E64" s="19" t="s">
        <v>245</v>
      </c>
      <c r="F64" s="19" t="s">
        <v>56</v>
      </c>
      <c r="G64" s="9" t="str">
        <f t="shared" si="1"/>
        <v>거래 / 종목 / 종목상세 / 주문 (일반)&gt; 판매&gt; AI매칭</v>
      </c>
      <c r="H64" s="18"/>
      <c r="I64" s="18">
        <f>COUNTIFS('기능정의 상세'!$A$4:$A$1200,A64,'기능정의 상세'!$K$4:$K$1200,"&lt;&gt;삭제")</f>
        <v>4</v>
      </c>
      <c r="J64" s="18" t="s">
        <v>63</v>
      </c>
      <c r="K64" s="20" t="s">
        <v>9</v>
      </c>
      <c r="L64" s="9" t="s">
        <v>246</v>
      </c>
      <c r="M64" s="9" t="s">
        <v>221</v>
      </c>
      <c r="N64" s="9"/>
      <c r="O64" s="9" t="s">
        <v>59</v>
      </c>
    </row>
    <row r="65" spans="1:15" ht="25">
      <c r="A65" s="18" t="s">
        <v>247</v>
      </c>
      <c r="B65" s="19" t="s">
        <v>113</v>
      </c>
      <c r="C65" s="24" t="s">
        <v>102</v>
      </c>
      <c r="D65" s="19" t="s">
        <v>123</v>
      </c>
      <c r="E65" s="19" t="s">
        <v>248</v>
      </c>
      <c r="F65" s="19" t="s">
        <v>56</v>
      </c>
      <c r="G65" s="9" t="str">
        <f t="shared" si="1"/>
        <v>거래 / 종목 / 종목상세 / 주문 (일반)&gt; 판매&gt; 판매희망가(1&gt; 3)</v>
      </c>
      <c r="H65" s="18"/>
      <c r="I65" s="18">
        <f>COUNTIFS('기능정의 상세'!$A$4:$A$1200,A65,'기능정의 상세'!$K$4:$K$1200,"&lt;&gt;삭제")</f>
        <v>3</v>
      </c>
      <c r="J65" s="18" t="s">
        <v>63</v>
      </c>
      <c r="K65" s="25" t="s">
        <v>13</v>
      </c>
      <c r="L65" s="9" t="s">
        <v>249</v>
      </c>
      <c r="M65" s="9" t="s">
        <v>125</v>
      </c>
      <c r="N65" s="9"/>
      <c r="O65" s="9" t="s">
        <v>59</v>
      </c>
    </row>
    <row r="66" spans="1:15" ht="25">
      <c r="A66" s="18" t="s">
        <v>250</v>
      </c>
      <c r="B66" s="19" t="s">
        <v>113</v>
      </c>
      <c r="C66" s="24" t="s">
        <v>102</v>
      </c>
      <c r="D66" s="19" t="s">
        <v>123</v>
      </c>
      <c r="E66" s="19" t="s">
        <v>251</v>
      </c>
      <c r="F66" s="19" t="s">
        <v>56</v>
      </c>
      <c r="G66" s="9" t="str">
        <f t="shared" si="1"/>
        <v>거래 / 종목 / 종목상세 / 주문 (일반)&gt; 판매&gt; 판매희망가(2&gt; 3)</v>
      </c>
      <c r="H66" s="18"/>
      <c r="I66" s="18">
        <f>COUNTIFS('기능정의 상세'!$A$4:$A$1200,A66,'기능정의 상세'!$K$4:$K$1200,"&lt;&gt;삭제")</f>
        <v>3</v>
      </c>
      <c r="J66" s="18" t="s">
        <v>63</v>
      </c>
      <c r="K66" s="25" t="s">
        <v>13</v>
      </c>
      <c r="L66" s="9" t="s">
        <v>252</v>
      </c>
      <c r="M66" s="9" t="s">
        <v>125</v>
      </c>
      <c r="N66" s="9"/>
      <c r="O66" s="9" t="s">
        <v>59</v>
      </c>
    </row>
    <row r="67" spans="1:15" ht="25">
      <c r="A67" s="18" t="s">
        <v>253</v>
      </c>
      <c r="B67" s="19" t="s">
        <v>113</v>
      </c>
      <c r="C67" s="21" t="s">
        <v>102</v>
      </c>
      <c r="D67" s="19" t="s">
        <v>123</v>
      </c>
      <c r="E67" s="19" t="s">
        <v>254</v>
      </c>
      <c r="F67" s="19" t="s">
        <v>56</v>
      </c>
      <c r="G67" s="9" t="str">
        <f t="shared" si="1"/>
        <v>거래 / 종목 / 종목상세 / 주문 (일반)&gt; 판매&gt; 판매희망가(3&gt; 3)</v>
      </c>
      <c r="H67" s="18"/>
      <c r="I67" s="18">
        <f>COUNTIFS('기능정의 상세'!$A$4:$A$1200,A67,'기능정의 상세'!$K$4:$K$1200,"&lt;&gt;삭제")</f>
        <v>2</v>
      </c>
      <c r="J67" s="18" t="s">
        <v>63</v>
      </c>
      <c r="K67" s="20" t="s">
        <v>9</v>
      </c>
      <c r="L67" s="9" t="s">
        <v>255</v>
      </c>
      <c r="M67" s="9" t="s">
        <v>148</v>
      </c>
      <c r="N67" s="9"/>
      <c r="O67" s="9" t="s">
        <v>59</v>
      </c>
    </row>
    <row r="68" spans="1:15" ht="25">
      <c r="A68" s="18" t="s">
        <v>256</v>
      </c>
      <c r="B68" s="19" t="s">
        <v>113</v>
      </c>
      <c r="C68" s="21" t="s">
        <v>102</v>
      </c>
      <c r="D68" s="19" t="s">
        <v>123</v>
      </c>
      <c r="E68" s="19" t="s">
        <v>257</v>
      </c>
      <c r="F68" s="21" t="s">
        <v>128</v>
      </c>
      <c r="G68" s="9" t="str">
        <f t="shared" si="1"/>
        <v>거래 / 종목 / 종목상세 / 주문 (일반)&gt; 판매&gt; 판매희망가&gt; 판매주문</v>
      </c>
      <c r="H68" s="18"/>
      <c r="I68" s="18">
        <f>COUNTIFS('기능정의 상세'!$A$4:$A$1200,A68,'기능정의 상세'!$K$4:$K$1200,"&lt;&gt;삭제")</f>
        <v>3</v>
      </c>
      <c r="J68" s="18" t="s">
        <v>63</v>
      </c>
      <c r="K68" s="20" t="s">
        <v>9</v>
      </c>
      <c r="L68" s="9" t="s">
        <v>258</v>
      </c>
      <c r="M68" s="9" t="s">
        <v>214</v>
      </c>
      <c r="N68" s="9"/>
      <c r="O68" s="9" t="s">
        <v>59</v>
      </c>
    </row>
    <row r="69" spans="1:15" ht="25">
      <c r="A69" s="18" t="s">
        <v>259</v>
      </c>
      <c r="B69" s="19" t="s">
        <v>113</v>
      </c>
      <c r="C69" s="24" t="s">
        <v>102</v>
      </c>
      <c r="D69" s="19" t="s">
        <v>123</v>
      </c>
      <c r="E69" s="19" t="s">
        <v>260</v>
      </c>
      <c r="F69" s="19" t="s">
        <v>56</v>
      </c>
      <c r="G69" s="9" t="str">
        <f t="shared" ref="G69:G100" si="2">B69&amp;IF(OR(C69="",C69="—"),"", " / "&amp;C69)&amp;IF(OR(D69="",D69="—"),"", " / "&amp;D69)&amp;IF(OR(E69="",E69="—"),"", " / "&amp;E69)</f>
        <v>거래 / 종목 / 종목상세 / 주문 (일반)&gt; 판매&gt; 판매희망가&gt; 주문완료</v>
      </c>
      <c r="H69" s="18"/>
      <c r="I69" s="18">
        <f>COUNTIFS('기능정의 상세'!$A$4:$A$1200,A69,'기능정의 상세'!$K$4:$K$1200,"&lt;&gt;삭제")</f>
        <v>3</v>
      </c>
      <c r="J69" s="18" t="s">
        <v>63</v>
      </c>
      <c r="K69" s="25" t="s">
        <v>13</v>
      </c>
      <c r="L69" s="9" t="s">
        <v>261</v>
      </c>
      <c r="M69" s="9" t="s">
        <v>125</v>
      </c>
      <c r="N69" s="9"/>
      <c r="O69" s="9" t="s">
        <v>59</v>
      </c>
    </row>
    <row r="70" spans="1:15" ht="25">
      <c r="A70" s="18" t="s">
        <v>262</v>
      </c>
      <c r="B70" s="19" t="s">
        <v>113</v>
      </c>
      <c r="C70" s="21" t="s">
        <v>102</v>
      </c>
      <c r="D70" s="19" t="s">
        <v>123</v>
      </c>
      <c r="E70" s="19" t="s">
        <v>263</v>
      </c>
      <c r="F70" s="19" t="s">
        <v>56</v>
      </c>
      <c r="G70" s="9" t="str">
        <f t="shared" si="2"/>
        <v>거래 / 종목 / 종목상세 / 주문 (일반)&gt; 판매&gt; AI매칭_수량입력(1&gt; 3)</v>
      </c>
      <c r="H70" s="18"/>
      <c r="I70" s="18">
        <f>COUNTIFS('기능정의 상세'!$A$4:$A$1200,A70,'기능정의 상세'!$K$4:$K$1200,"&lt;&gt;삭제")</f>
        <v>4</v>
      </c>
      <c r="J70" s="18" t="s">
        <v>63</v>
      </c>
      <c r="K70" s="20" t="s">
        <v>9</v>
      </c>
      <c r="L70" s="9" t="s">
        <v>264</v>
      </c>
      <c r="M70" s="9" t="s">
        <v>221</v>
      </c>
      <c r="N70" s="9"/>
      <c r="O70" s="9" t="s">
        <v>59</v>
      </c>
    </row>
    <row r="71" spans="1:15" ht="25">
      <c r="A71" s="18" t="s">
        <v>265</v>
      </c>
      <c r="B71" s="19" t="s">
        <v>113</v>
      </c>
      <c r="C71" s="21" t="s">
        <v>102</v>
      </c>
      <c r="D71" s="19" t="s">
        <v>123</v>
      </c>
      <c r="E71" s="19" t="s">
        <v>266</v>
      </c>
      <c r="F71" s="19" t="s">
        <v>56</v>
      </c>
      <c r="G71" s="9" t="str">
        <f t="shared" si="2"/>
        <v>거래 / 종목 / 종목상세 / 주문 (일반)&gt; 판매&gt; AI매칭_수량입력(2&gt; 3)</v>
      </c>
      <c r="H71" s="18"/>
      <c r="I71" s="18">
        <f>COUNTIFS('기능정의 상세'!$A$4:$A$1200,A71,'기능정의 상세'!$K$4:$K$1200,"&lt;&gt;삭제")</f>
        <v>3</v>
      </c>
      <c r="J71" s="18" t="s">
        <v>63</v>
      </c>
      <c r="K71" s="20" t="s">
        <v>9</v>
      </c>
      <c r="L71" s="9" t="s">
        <v>267</v>
      </c>
      <c r="M71" s="9" t="s">
        <v>225</v>
      </c>
      <c r="N71" s="9"/>
      <c r="O71" s="9" t="s">
        <v>59</v>
      </c>
    </row>
    <row r="72" spans="1:15" ht="25">
      <c r="A72" s="18" t="s">
        <v>268</v>
      </c>
      <c r="B72" s="19" t="s">
        <v>113</v>
      </c>
      <c r="C72" s="21" t="s">
        <v>102</v>
      </c>
      <c r="D72" s="19" t="s">
        <v>123</v>
      </c>
      <c r="E72" s="19" t="s">
        <v>269</v>
      </c>
      <c r="F72" s="19" t="s">
        <v>56</v>
      </c>
      <c r="G72" s="9" t="str">
        <f t="shared" si="2"/>
        <v>거래 / 종목 / 종목상세 / 주문 (일반)&gt; 판매&gt; AI매칭_수량입력(3&gt; 3)</v>
      </c>
      <c r="H72" s="18"/>
      <c r="I72" s="18">
        <f>COUNTIFS('기능정의 상세'!$A$4:$A$1200,A72,'기능정의 상세'!$K$4:$K$1200,"&lt;&gt;삭제")</f>
        <v>2</v>
      </c>
      <c r="J72" s="18" t="s">
        <v>63</v>
      </c>
      <c r="K72" s="20" t="s">
        <v>9</v>
      </c>
      <c r="L72" s="9" t="s">
        <v>270</v>
      </c>
      <c r="M72" s="9" t="s">
        <v>225</v>
      </c>
      <c r="N72" s="9"/>
      <c r="O72" s="9" t="s">
        <v>59</v>
      </c>
    </row>
    <row r="73" spans="1:15" ht="25">
      <c r="A73" s="18" t="s">
        <v>271</v>
      </c>
      <c r="B73" s="19" t="s">
        <v>113</v>
      </c>
      <c r="C73" s="21" t="s">
        <v>102</v>
      </c>
      <c r="D73" s="19" t="s">
        <v>123</v>
      </c>
      <c r="E73" s="19" t="s">
        <v>272</v>
      </c>
      <c r="F73" s="21" t="s">
        <v>128</v>
      </c>
      <c r="G73" s="9" t="str">
        <f t="shared" si="2"/>
        <v>거래 / 종목 / 종목상세 / 주문 (일반)&gt; 판매&gt; AI매칭&gt; 판매주문</v>
      </c>
      <c r="H73" s="18"/>
      <c r="I73" s="18">
        <f>COUNTIFS('기능정의 상세'!$A$4:$A$1200,A73,'기능정의 상세'!$K$4:$K$1200,"&lt;&gt;삭제")</f>
        <v>4</v>
      </c>
      <c r="J73" s="18" t="s">
        <v>63</v>
      </c>
      <c r="K73" s="20" t="s">
        <v>9</v>
      </c>
      <c r="L73" s="9" t="s">
        <v>273</v>
      </c>
      <c r="M73" s="9" t="s">
        <v>214</v>
      </c>
      <c r="N73" s="9"/>
      <c r="O73" s="9" t="s">
        <v>59</v>
      </c>
    </row>
    <row r="74" spans="1:15" ht="25">
      <c r="A74" s="18" t="s">
        <v>274</v>
      </c>
      <c r="B74" s="19" t="s">
        <v>113</v>
      </c>
      <c r="C74" s="21" t="s">
        <v>102</v>
      </c>
      <c r="D74" s="19" t="s">
        <v>123</v>
      </c>
      <c r="E74" s="19" t="s">
        <v>275</v>
      </c>
      <c r="F74" s="19" t="s">
        <v>56</v>
      </c>
      <c r="G74" s="9" t="str">
        <f t="shared" si="2"/>
        <v>거래 / 종목 / 종목상세 / 주문 (일반)&gt; 판매&gt; AI매칭&gt; 주문완료</v>
      </c>
      <c r="H74" s="18"/>
      <c r="I74" s="18">
        <f>COUNTIFS('기능정의 상세'!$A$4:$A$1200,A74,'기능정의 상세'!$K$4:$K$1200,"&lt;&gt;삭제")</f>
        <v>3</v>
      </c>
      <c r="J74" s="18" t="s">
        <v>63</v>
      </c>
      <c r="K74" s="20" t="s">
        <v>9</v>
      </c>
      <c r="L74" s="9" t="s">
        <v>276</v>
      </c>
      <c r="M74" s="9" t="s">
        <v>148</v>
      </c>
      <c r="N74" s="9"/>
      <c r="O74" s="9" t="s">
        <v>59</v>
      </c>
    </row>
    <row r="75" spans="1:15">
      <c r="A75" s="18" t="s">
        <v>277</v>
      </c>
      <c r="B75" s="19" t="s">
        <v>113</v>
      </c>
      <c r="C75" s="24" t="s">
        <v>102</v>
      </c>
      <c r="D75" s="19" t="s">
        <v>123</v>
      </c>
      <c r="E75" s="19" t="s">
        <v>278</v>
      </c>
      <c r="F75" s="19" t="s">
        <v>99</v>
      </c>
      <c r="G75" s="9" t="str">
        <f t="shared" si="2"/>
        <v>거래 / 종목 / 종목상세 / 호가</v>
      </c>
      <c r="H75" s="18" t="s">
        <v>57</v>
      </c>
      <c r="I75" s="18">
        <f>COUNTIFS('기능정의 상세'!$A$4:$A$1200,A75,'기능정의 상세'!$K$4:$K$1200,"&lt;&gt;삭제")</f>
        <v>5</v>
      </c>
      <c r="J75" s="18" t="s">
        <v>63</v>
      </c>
      <c r="K75" s="25" t="s">
        <v>13</v>
      </c>
      <c r="L75" s="9" t="s">
        <v>279</v>
      </c>
      <c r="M75" s="9" t="s">
        <v>125</v>
      </c>
      <c r="N75" s="9" t="s">
        <v>280</v>
      </c>
      <c r="O75" s="9"/>
    </row>
    <row r="76" spans="1:15">
      <c r="A76" s="18" t="s">
        <v>281</v>
      </c>
      <c r="B76" s="19" t="s">
        <v>113</v>
      </c>
      <c r="C76" s="24" t="s">
        <v>102</v>
      </c>
      <c r="D76" s="19" t="s">
        <v>123</v>
      </c>
      <c r="E76" s="19" t="s">
        <v>282</v>
      </c>
      <c r="F76" s="19" t="s">
        <v>99</v>
      </c>
      <c r="G76" s="9" t="str">
        <f t="shared" si="2"/>
        <v>거래 / 종목 / 종목상세 / 차트</v>
      </c>
      <c r="H76" s="18" t="s">
        <v>57</v>
      </c>
      <c r="I76" s="18">
        <f>COUNTIFS('기능정의 상세'!$A$4:$A$1200,A76,'기능정의 상세'!$K$4:$K$1200,"&lt;&gt;삭제")</f>
        <v>6</v>
      </c>
      <c r="J76" s="18" t="s">
        <v>63</v>
      </c>
      <c r="K76" s="25" t="s">
        <v>13</v>
      </c>
      <c r="L76" s="9" t="s">
        <v>283</v>
      </c>
      <c r="M76" s="9" t="s">
        <v>125</v>
      </c>
      <c r="N76" s="9"/>
      <c r="O76" s="9"/>
    </row>
    <row r="77" spans="1:15">
      <c r="A77" s="18" t="s">
        <v>284</v>
      </c>
      <c r="B77" s="19" t="s">
        <v>113</v>
      </c>
      <c r="C77" s="24" t="s">
        <v>102</v>
      </c>
      <c r="D77" s="19" t="s">
        <v>123</v>
      </c>
      <c r="E77" s="19" t="s">
        <v>285</v>
      </c>
      <c r="F77" s="19" t="s">
        <v>94</v>
      </c>
      <c r="G77" s="9" t="str">
        <f t="shared" si="2"/>
        <v>거래 / 종목 / 종목상세 / 차트&gt; 체결시세 목록</v>
      </c>
      <c r="H77" s="18" t="s">
        <v>57</v>
      </c>
      <c r="I77" s="18">
        <f>COUNTIFS('기능정의 상세'!$A$4:$A$1200,A77,'기능정의 상세'!$K$4:$K$1200,"&lt;&gt;삭제")</f>
        <v>6</v>
      </c>
      <c r="J77" s="18" t="s">
        <v>63</v>
      </c>
      <c r="K77" s="25" t="s">
        <v>13</v>
      </c>
      <c r="L77" s="9" t="s">
        <v>286</v>
      </c>
      <c r="M77" s="9" t="s">
        <v>125</v>
      </c>
      <c r="N77" s="9"/>
      <c r="O77" s="9"/>
    </row>
    <row r="78" spans="1:15">
      <c r="A78" s="18" t="s">
        <v>287</v>
      </c>
      <c r="B78" s="19" t="s">
        <v>113</v>
      </c>
      <c r="C78" s="24" t="s">
        <v>102</v>
      </c>
      <c r="D78" s="19" t="s">
        <v>123</v>
      </c>
      <c r="E78" s="19" t="s">
        <v>288</v>
      </c>
      <c r="F78" s="19" t="s">
        <v>94</v>
      </c>
      <c r="G78" s="9" t="str">
        <f t="shared" si="2"/>
        <v>거래 / 종목 / 종목상세 / 차트&gt; 일별시세 목록</v>
      </c>
      <c r="H78" s="18" t="s">
        <v>57</v>
      </c>
      <c r="I78" s="18">
        <f>COUNTIFS('기능정의 상세'!$A$4:$A$1200,A78,'기능정의 상세'!$K$4:$K$1200,"&lt;&gt;삭제")</f>
        <v>5</v>
      </c>
      <c r="J78" s="18" t="s">
        <v>63</v>
      </c>
      <c r="K78" s="25" t="s">
        <v>13</v>
      </c>
      <c r="L78" s="9" t="s">
        <v>289</v>
      </c>
      <c r="M78" s="9" t="s">
        <v>125</v>
      </c>
      <c r="N78" s="9"/>
      <c r="O78" s="9"/>
    </row>
    <row r="79" spans="1:15" ht="25">
      <c r="A79" s="18" t="s">
        <v>290</v>
      </c>
      <c r="B79" s="19" t="s">
        <v>113</v>
      </c>
      <c r="C79" s="21" t="s">
        <v>102</v>
      </c>
      <c r="D79" s="19" t="s">
        <v>123</v>
      </c>
      <c r="E79" s="19" t="s">
        <v>291</v>
      </c>
      <c r="F79" s="19" t="s">
        <v>103</v>
      </c>
      <c r="G79" s="9" t="str">
        <f t="shared" si="2"/>
        <v>거래 / 종목 / 종목상세 / 내 주문</v>
      </c>
      <c r="H79" s="18"/>
      <c r="I79" s="18">
        <f>COUNTIFS('기능정의 상세'!$A$4:$A$1200,A79,'기능정의 상세'!$K$4:$K$1200,"&lt;&gt;삭제")</f>
        <v>5</v>
      </c>
      <c r="J79" s="18" t="s">
        <v>63</v>
      </c>
      <c r="K79" s="20" t="s">
        <v>9</v>
      </c>
      <c r="L79" s="9" t="s">
        <v>292</v>
      </c>
      <c r="M79" s="9" t="s">
        <v>293</v>
      </c>
      <c r="N79" s="9"/>
      <c r="O79" s="9"/>
    </row>
    <row r="80" spans="1:15">
      <c r="A80" s="18" t="s">
        <v>294</v>
      </c>
      <c r="B80" s="19" t="s">
        <v>113</v>
      </c>
      <c r="C80" s="21" t="s">
        <v>102</v>
      </c>
      <c r="D80" s="19" t="s">
        <v>123</v>
      </c>
      <c r="E80" s="19" t="s">
        <v>291</v>
      </c>
      <c r="F80" s="19" t="s">
        <v>103</v>
      </c>
      <c r="G80" s="9" t="str">
        <f t="shared" si="2"/>
        <v>거래 / 종목 / 종목상세 / 내 주문</v>
      </c>
      <c r="H80" s="18" t="s">
        <v>57</v>
      </c>
      <c r="I80" s="18">
        <f>COUNTIFS('기능정의 상세'!$A$4:$A$1200,A80,'기능정의 상세'!$K$4:$K$1200,"&lt;&gt;삭제")</f>
        <v>6</v>
      </c>
      <c r="J80" s="18" t="s">
        <v>63</v>
      </c>
      <c r="K80" s="20" t="s">
        <v>9</v>
      </c>
      <c r="L80" s="9" t="s">
        <v>292</v>
      </c>
      <c r="M80" s="9" t="s">
        <v>295</v>
      </c>
      <c r="N80" s="9"/>
      <c r="O80" s="9"/>
    </row>
    <row r="81" spans="1:15" ht="25">
      <c r="A81" s="26" t="s">
        <v>296</v>
      </c>
      <c r="B81" s="27" t="s">
        <v>113</v>
      </c>
      <c r="C81" s="27" t="s">
        <v>102</v>
      </c>
      <c r="D81" s="27" t="s">
        <v>123</v>
      </c>
      <c r="E81" s="27" t="s">
        <v>297</v>
      </c>
      <c r="F81" s="27" t="s">
        <v>56</v>
      </c>
      <c r="G81" s="28" t="str">
        <f t="shared" si="2"/>
        <v>거래 / 종목 / 종목상세 / 내 주문&gt; 계좌변경</v>
      </c>
      <c r="H81" s="18"/>
      <c r="I81" s="18">
        <f>COUNTIFS('기능정의 상세'!$A$4:$A$1200,A81,'기능정의 상세'!$K$4:$K$1200,"&lt;&gt;삭제")</f>
        <v>0</v>
      </c>
      <c r="J81" s="18" t="s">
        <v>63</v>
      </c>
      <c r="K81" s="18" t="s">
        <v>15</v>
      </c>
      <c r="L81" s="9" t="s">
        <v>298</v>
      </c>
      <c r="M81" s="9" t="s">
        <v>299</v>
      </c>
      <c r="N81" s="9"/>
      <c r="O81" s="9"/>
    </row>
    <row r="82" spans="1:15" ht="25">
      <c r="A82" s="18" t="s">
        <v>300</v>
      </c>
      <c r="B82" s="19" t="s">
        <v>113</v>
      </c>
      <c r="C82" s="21" t="s">
        <v>102</v>
      </c>
      <c r="D82" s="19" t="s">
        <v>123</v>
      </c>
      <c r="E82" s="19" t="s">
        <v>301</v>
      </c>
      <c r="F82" s="21" t="s">
        <v>128</v>
      </c>
      <c r="G82" s="9" t="str">
        <f t="shared" si="2"/>
        <v>거래 / 종목 / 종목상세 / 내 주문&gt; 필터</v>
      </c>
      <c r="H82" s="18"/>
      <c r="I82" s="18">
        <f>COUNTIFS('기능정의 상세'!$A$4:$A$1200,A82,'기능정의 상세'!$K$4:$K$1200,"&lt;&gt;삭제")</f>
        <v>5</v>
      </c>
      <c r="J82" s="18" t="s">
        <v>63</v>
      </c>
      <c r="K82" s="20" t="s">
        <v>9</v>
      </c>
      <c r="L82" s="9" t="s">
        <v>302</v>
      </c>
      <c r="M82" s="9" t="s">
        <v>303</v>
      </c>
      <c r="N82" s="9"/>
      <c r="O82" s="9" t="s">
        <v>59</v>
      </c>
    </row>
    <row r="83" spans="1:15">
      <c r="A83" s="18" t="s">
        <v>304</v>
      </c>
      <c r="B83" s="19" t="s">
        <v>113</v>
      </c>
      <c r="C83" s="21" t="s">
        <v>102</v>
      </c>
      <c r="D83" s="19" t="s">
        <v>123</v>
      </c>
      <c r="E83" s="19" t="s">
        <v>305</v>
      </c>
      <c r="F83" s="19" t="s">
        <v>94</v>
      </c>
      <c r="G83" s="9" t="str">
        <f t="shared" si="2"/>
        <v>거래 / 종목 / 종목상세 / 커뮤니티&gt; 목록</v>
      </c>
      <c r="H83" s="18" t="s">
        <v>57</v>
      </c>
      <c r="I83" s="18">
        <f>COUNTIFS('기능정의 상세'!$A$4:$A$1200,A83,'기능정의 상세'!$K$4:$K$1200,"&lt;&gt;삭제")</f>
        <v>6</v>
      </c>
      <c r="J83" s="18" t="s">
        <v>63</v>
      </c>
      <c r="K83" s="20" t="s">
        <v>9</v>
      </c>
      <c r="L83" s="9" t="s">
        <v>306</v>
      </c>
      <c r="M83" s="9" t="s">
        <v>307</v>
      </c>
      <c r="N83" s="9"/>
      <c r="O83" s="9"/>
    </row>
    <row r="84" spans="1:15">
      <c r="A84" s="18" t="s">
        <v>308</v>
      </c>
      <c r="B84" s="19" t="s">
        <v>113</v>
      </c>
      <c r="C84" s="24" t="s">
        <v>102</v>
      </c>
      <c r="D84" s="19" t="s">
        <v>123</v>
      </c>
      <c r="E84" s="19" t="s">
        <v>105</v>
      </c>
      <c r="F84" s="19" t="s">
        <v>94</v>
      </c>
      <c r="G84" s="9" t="str">
        <f t="shared" si="2"/>
        <v>거래 / 종목 / 종목상세 / 커뮤니티</v>
      </c>
      <c r="H84" s="18" t="s">
        <v>57</v>
      </c>
      <c r="I84" s="18">
        <f>COUNTIFS('기능정의 상세'!$A$4:$A$1200,A84,'기능정의 상세'!$K$4:$K$1200,"&lt;&gt;삭제")</f>
        <v>6</v>
      </c>
      <c r="J84" s="18" t="s">
        <v>63</v>
      </c>
      <c r="K84" s="25" t="s">
        <v>13</v>
      </c>
      <c r="L84" s="9" t="s">
        <v>309</v>
      </c>
      <c r="M84" s="9" t="s">
        <v>125</v>
      </c>
      <c r="N84" s="9"/>
      <c r="O84" s="9"/>
    </row>
    <row r="85" spans="1:15" ht="25">
      <c r="A85" s="18" t="s">
        <v>310</v>
      </c>
      <c r="B85" s="19" t="s">
        <v>113</v>
      </c>
      <c r="C85" s="21" t="s">
        <v>102</v>
      </c>
      <c r="D85" s="19" t="s">
        <v>123</v>
      </c>
      <c r="E85" s="19" t="s">
        <v>311</v>
      </c>
      <c r="F85" s="21" t="s">
        <v>119</v>
      </c>
      <c r="G85" s="9" t="str">
        <f t="shared" si="2"/>
        <v>거래 / 종목 / 종목상세 / 커뮤니티_필터</v>
      </c>
      <c r="H85" s="18"/>
      <c r="I85" s="18">
        <f>COUNTIFS('기능정의 상세'!$A$4:$A$1200,A85,'기능정의 상세'!$K$4:$K$1200,"&lt;&gt;삭제")</f>
        <v>4</v>
      </c>
      <c r="J85" s="18" t="s">
        <v>63</v>
      </c>
      <c r="K85" s="20" t="s">
        <v>9</v>
      </c>
      <c r="L85" s="9" t="s">
        <v>312</v>
      </c>
      <c r="M85" s="9" t="s">
        <v>313</v>
      </c>
      <c r="N85" s="9"/>
      <c r="O85" s="9" t="s">
        <v>59</v>
      </c>
    </row>
    <row r="86" spans="1:15">
      <c r="A86" s="18" t="s">
        <v>314</v>
      </c>
      <c r="B86" s="19" t="s">
        <v>113</v>
      </c>
      <c r="C86" s="24" t="s">
        <v>102</v>
      </c>
      <c r="D86" s="19" t="s">
        <v>123</v>
      </c>
      <c r="E86" s="19" t="s">
        <v>315</v>
      </c>
      <c r="F86" s="19" t="s">
        <v>56</v>
      </c>
      <c r="G86" s="9" t="str">
        <f t="shared" si="2"/>
        <v>거래 / 종목 / 종목상세 / 호가&gt; 구매 호가 클릭시</v>
      </c>
      <c r="H86" s="18"/>
      <c r="I86" s="18">
        <f>COUNTIFS('기능정의 상세'!$A$4:$A$1200,A86,'기능정의 상세'!$K$4:$K$1200,"&lt;&gt;삭제")</f>
        <v>6</v>
      </c>
      <c r="J86" s="18" t="s">
        <v>63</v>
      </c>
      <c r="K86" s="25" t="s">
        <v>13</v>
      </c>
      <c r="L86" s="9" t="s">
        <v>316</v>
      </c>
      <c r="M86" s="9" t="s">
        <v>125</v>
      </c>
      <c r="N86" s="9"/>
      <c r="O86" s="9" t="s">
        <v>59</v>
      </c>
    </row>
    <row r="87" spans="1:15">
      <c r="A87" s="18" t="s">
        <v>317</v>
      </c>
      <c r="B87" s="19" t="s">
        <v>113</v>
      </c>
      <c r="C87" s="24" t="s">
        <v>102</v>
      </c>
      <c r="D87" s="19" t="s">
        <v>123</v>
      </c>
      <c r="E87" s="19" t="s">
        <v>318</v>
      </c>
      <c r="F87" s="19" t="s">
        <v>56</v>
      </c>
      <c r="G87" s="9" t="str">
        <f t="shared" si="2"/>
        <v>거래 / 종목 / 종목상세 / 호가&gt; 판매 호가 클릭시</v>
      </c>
      <c r="H87" s="18"/>
      <c r="I87" s="18">
        <f>COUNTIFS('기능정의 상세'!$A$4:$A$1200,A87,'기능정의 상세'!$K$4:$K$1200,"&lt;&gt;삭제")</f>
        <v>5</v>
      </c>
      <c r="J87" s="18" t="s">
        <v>63</v>
      </c>
      <c r="K87" s="25" t="s">
        <v>13</v>
      </c>
      <c r="L87" s="9" t="s">
        <v>319</v>
      </c>
      <c r="M87" s="9" t="s">
        <v>125</v>
      </c>
      <c r="N87" s="9"/>
      <c r="O87" s="9" t="s">
        <v>59</v>
      </c>
    </row>
    <row r="88" spans="1:15">
      <c r="A88" s="18" t="s">
        <v>320</v>
      </c>
      <c r="B88" s="19" t="s">
        <v>113</v>
      </c>
      <c r="C88" s="24" t="s">
        <v>102</v>
      </c>
      <c r="D88" s="19" t="s">
        <v>123</v>
      </c>
      <c r="E88" s="19" t="s">
        <v>242</v>
      </c>
      <c r="F88" s="19" t="s">
        <v>56</v>
      </c>
      <c r="G88" s="9" t="str">
        <f t="shared" si="2"/>
        <v>거래 / 종목 / 종목상세 / 주문 (일반)&gt; 판매&gt; 판매희망가</v>
      </c>
      <c r="H88" s="18"/>
      <c r="I88" s="18">
        <f>COUNTIFS('기능정의 상세'!$A$4:$A$1200,A88,'기능정의 상세'!$K$4:$K$1200,"&lt;&gt;삭제")</f>
        <v>4</v>
      </c>
      <c r="J88" s="18" t="s">
        <v>63</v>
      </c>
      <c r="K88" s="25" t="s">
        <v>13</v>
      </c>
      <c r="L88" s="9" t="s">
        <v>321</v>
      </c>
      <c r="M88" s="9" t="s">
        <v>125</v>
      </c>
      <c r="N88" s="9"/>
      <c r="O88" s="9" t="s">
        <v>59</v>
      </c>
    </row>
    <row r="89" spans="1:15">
      <c r="A89" s="18" t="s">
        <v>322</v>
      </c>
      <c r="B89" s="19" t="s">
        <v>113</v>
      </c>
      <c r="C89" s="24" t="s">
        <v>102</v>
      </c>
      <c r="D89" s="19" t="s">
        <v>123</v>
      </c>
      <c r="E89" s="19" t="s">
        <v>323</v>
      </c>
      <c r="F89" s="19" t="s">
        <v>56</v>
      </c>
      <c r="G89" s="9" t="str">
        <f t="shared" si="2"/>
        <v>거래 / 종목 / 종목상세 / 커뮤니티&gt; 상세보기</v>
      </c>
      <c r="H89" s="18"/>
      <c r="I89" s="18">
        <f>COUNTIFS('기능정의 상세'!$A$4:$A$1200,A89,'기능정의 상세'!$K$4:$K$1200,"&lt;&gt;삭제")</f>
        <v>5</v>
      </c>
      <c r="J89" s="18" t="s">
        <v>63</v>
      </c>
      <c r="K89" s="25" t="s">
        <v>13</v>
      </c>
      <c r="L89" s="9" t="s">
        <v>324</v>
      </c>
      <c r="M89" s="9" t="s">
        <v>125</v>
      </c>
      <c r="N89" s="9"/>
      <c r="O89" s="9" t="s">
        <v>59</v>
      </c>
    </row>
    <row r="90" spans="1:15" ht="25">
      <c r="A90" s="18" t="s">
        <v>325</v>
      </c>
      <c r="B90" s="19" t="s">
        <v>113</v>
      </c>
      <c r="C90" s="21" t="s">
        <v>102</v>
      </c>
      <c r="D90" s="19" t="s">
        <v>123</v>
      </c>
      <c r="E90" s="19" t="s">
        <v>326</v>
      </c>
      <c r="F90" s="21" t="s">
        <v>128</v>
      </c>
      <c r="G90" s="9" t="str">
        <f t="shared" si="2"/>
        <v>거래 / 종목 / 종목상세 / 커뮤니티&gt; 상세보기_신고하기</v>
      </c>
      <c r="H90" s="18"/>
      <c r="I90" s="18">
        <f>COUNTIFS('기능정의 상세'!$A$4:$A$1200,A90,'기능정의 상세'!$K$4:$K$1200,"&lt;&gt;삭제")</f>
        <v>3</v>
      </c>
      <c r="J90" s="18" t="s">
        <v>63</v>
      </c>
      <c r="K90" s="20" t="s">
        <v>9</v>
      </c>
      <c r="L90" s="9" t="s">
        <v>327</v>
      </c>
      <c r="M90" s="9" t="s">
        <v>328</v>
      </c>
      <c r="N90" s="9"/>
      <c r="O90" s="9" t="s">
        <v>59</v>
      </c>
    </row>
    <row r="91" spans="1:15" ht="25">
      <c r="A91" s="18" t="s">
        <v>329</v>
      </c>
      <c r="B91" s="19" t="s">
        <v>113</v>
      </c>
      <c r="C91" s="21" t="s">
        <v>102</v>
      </c>
      <c r="D91" s="19" t="s">
        <v>123</v>
      </c>
      <c r="E91" s="19" t="s">
        <v>330</v>
      </c>
      <c r="F91" s="21" t="s">
        <v>128</v>
      </c>
      <c r="G91" s="9" t="str">
        <f t="shared" si="2"/>
        <v>거래 / 종목 / 종목상세 / 커뮤니티&gt; 상세보기_신고하기 이유</v>
      </c>
      <c r="H91" s="18"/>
      <c r="I91" s="18">
        <f>COUNTIFS('기능정의 상세'!$A$4:$A$1200,A91,'기능정의 상세'!$K$4:$K$1200,"&lt;&gt;삭제")</f>
        <v>4</v>
      </c>
      <c r="J91" s="18" t="s">
        <v>63</v>
      </c>
      <c r="K91" s="20" t="s">
        <v>9</v>
      </c>
      <c r="L91" s="9" t="s">
        <v>331</v>
      </c>
      <c r="M91" s="9" t="s">
        <v>332</v>
      </c>
      <c r="N91" s="9"/>
      <c r="O91" s="9" t="s">
        <v>59</v>
      </c>
    </row>
    <row r="92" spans="1:15" ht="25">
      <c r="A92" s="18" t="s">
        <v>333</v>
      </c>
      <c r="B92" s="19" t="s">
        <v>113</v>
      </c>
      <c r="C92" s="21" t="s">
        <v>102</v>
      </c>
      <c r="D92" s="19" t="s">
        <v>123</v>
      </c>
      <c r="E92" s="19" t="s">
        <v>334</v>
      </c>
      <c r="F92" s="21" t="s">
        <v>335</v>
      </c>
      <c r="G92" s="9" t="str">
        <f t="shared" si="2"/>
        <v>거래 / 종목 / 종목상세 / 커뮤니티&gt; 글쓰기(1&gt; 2)</v>
      </c>
      <c r="H92" s="18"/>
      <c r="I92" s="18">
        <f>COUNTIFS('기능정의 상세'!$A$4:$A$1200,A92,'기능정의 상세'!$K$4:$K$1200,"&lt;&gt;삭제")</f>
        <v>5</v>
      </c>
      <c r="J92" s="18" t="s">
        <v>63</v>
      </c>
      <c r="K92" s="20" t="s">
        <v>9</v>
      </c>
      <c r="L92" s="9" t="s">
        <v>336</v>
      </c>
      <c r="M92" s="9" t="s">
        <v>337</v>
      </c>
      <c r="N92" s="9"/>
      <c r="O92" s="9" t="s">
        <v>59</v>
      </c>
    </row>
    <row r="93" spans="1:15" ht="25">
      <c r="A93" s="18" t="s">
        <v>338</v>
      </c>
      <c r="B93" s="19" t="s">
        <v>113</v>
      </c>
      <c r="C93" s="21" t="s">
        <v>102</v>
      </c>
      <c r="D93" s="19" t="s">
        <v>123</v>
      </c>
      <c r="E93" s="19" t="s">
        <v>339</v>
      </c>
      <c r="F93" s="21" t="s">
        <v>335</v>
      </c>
      <c r="G93" s="9" t="str">
        <f t="shared" si="2"/>
        <v>거래 / 종목 / 종목상세 / 커뮤니티&gt; 글쓰기(2&gt; 2)</v>
      </c>
      <c r="H93" s="18"/>
      <c r="I93" s="18">
        <f>COUNTIFS('기능정의 상세'!$A$4:$A$1200,A93,'기능정의 상세'!$K$4:$K$1200,"&lt;&gt;삭제")</f>
        <v>4</v>
      </c>
      <c r="J93" s="18" t="s">
        <v>63</v>
      </c>
      <c r="K93" s="20" t="s">
        <v>9</v>
      </c>
      <c r="L93" s="9" t="s">
        <v>340</v>
      </c>
      <c r="M93" s="9" t="s">
        <v>337</v>
      </c>
      <c r="N93" s="9"/>
      <c r="O93" s="9" t="s">
        <v>59</v>
      </c>
    </row>
    <row r="94" spans="1:15" ht="25">
      <c r="A94" s="26" t="s">
        <v>341</v>
      </c>
      <c r="B94" s="27" t="s">
        <v>291</v>
      </c>
      <c r="C94" s="27" t="s">
        <v>342</v>
      </c>
      <c r="D94" s="27" t="s">
        <v>55</v>
      </c>
      <c r="E94" s="27" t="s">
        <v>55</v>
      </c>
      <c r="F94" s="27" t="s">
        <v>56</v>
      </c>
      <c r="G94" s="28" t="str">
        <f t="shared" si="2"/>
        <v>내 주문 / 계좌변경</v>
      </c>
      <c r="H94" s="18" t="s">
        <v>57</v>
      </c>
      <c r="I94" s="18">
        <f>COUNTIFS('기능정의 상세'!$A$4:$A$1200,A94,'기능정의 상세'!$K$4:$K$1200,"&lt;&gt;삭제")</f>
        <v>0</v>
      </c>
      <c r="J94" s="18" t="s">
        <v>63</v>
      </c>
      <c r="K94" s="18" t="s">
        <v>15</v>
      </c>
      <c r="L94" s="9"/>
      <c r="M94" s="9" t="s">
        <v>343</v>
      </c>
      <c r="N94" s="9"/>
      <c r="O94" s="9" t="s">
        <v>344</v>
      </c>
    </row>
    <row r="95" spans="1:15" ht="25">
      <c r="A95" s="18" t="s">
        <v>345</v>
      </c>
      <c r="B95" s="19" t="s">
        <v>346</v>
      </c>
      <c r="C95" s="19" t="s">
        <v>347</v>
      </c>
      <c r="D95" s="19" t="s">
        <v>55</v>
      </c>
      <c r="E95" s="19" t="s">
        <v>55</v>
      </c>
      <c r="F95" s="19" t="s">
        <v>84</v>
      </c>
      <c r="G95" s="9" t="str">
        <f t="shared" si="2"/>
        <v>MY / MY 메인</v>
      </c>
      <c r="H95" s="18" t="s">
        <v>57</v>
      </c>
      <c r="I95" s="18">
        <f>COUNTIFS('기능정의 상세'!$A$4:$A$1200,A95,'기능정의 상세'!$K$4:$K$1200,"&lt;&gt;삭제")</f>
        <v>9</v>
      </c>
      <c r="J95" s="18" t="s">
        <v>63</v>
      </c>
      <c r="K95" s="20" t="s">
        <v>9</v>
      </c>
      <c r="L95" s="9"/>
      <c r="M95" s="9" t="s">
        <v>348</v>
      </c>
      <c r="N95" s="9" t="s">
        <v>349</v>
      </c>
      <c r="O95" s="9"/>
    </row>
    <row r="96" spans="1:15" ht="25">
      <c r="A96" s="18" t="s">
        <v>350</v>
      </c>
      <c r="B96" s="29" t="s">
        <v>346</v>
      </c>
      <c r="C96" s="29" t="s">
        <v>351</v>
      </c>
      <c r="D96" s="29" t="s">
        <v>352</v>
      </c>
      <c r="E96" s="19" t="s">
        <v>55</v>
      </c>
      <c r="F96" s="19" t="s">
        <v>94</v>
      </c>
      <c r="G96" s="9" t="str">
        <f t="shared" si="2"/>
        <v>MY / 내 자산 / 보유</v>
      </c>
      <c r="H96" s="18" t="s">
        <v>57</v>
      </c>
      <c r="I96" s="18">
        <f>COUNTIFS('기능정의 상세'!$A$4:$A$1200,A96,'기능정의 상세'!$K$4:$K$1200,"&lt;&gt;삭제")</f>
        <v>13</v>
      </c>
      <c r="J96" s="18" t="s">
        <v>58</v>
      </c>
      <c r="K96" s="30" t="s">
        <v>11</v>
      </c>
      <c r="L96" s="9" t="s">
        <v>353</v>
      </c>
      <c r="M96" s="9" t="s">
        <v>354</v>
      </c>
      <c r="N96" s="9" t="s">
        <v>355</v>
      </c>
      <c r="O96" s="9"/>
    </row>
    <row r="97" spans="1:15" ht="25">
      <c r="A97" s="18" t="s">
        <v>356</v>
      </c>
      <c r="B97" s="29" t="s">
        <v>346</v>
      </c>
      <c r="C97" s="29" t="s">
        <v>351</v>
      </c>
      <c r="D97" s="19" t="s">
        <v>357</v>
      </c>
      <c r="E97" s="19" t="s">
        <v>55</v>
      </c>
      <c r="F97" s="19" t="s">
        <v>94</v>
      </c>
      <c r="G97" s="9" t="str">
        <f t="shared" si="2"/>
        <v>MY / 내 자산 / 주문 내역</v>
      </c>
      <c r="H97" s="18" t="s">
        <v>57</v>
      </c>
      <c r="I97" s="18">
        <f>COUNTIFS('기능정의 상세'!$A$4:$A$1200,A97,'기능정의 상세'!$K$4:$K$1200,"&lt;&gt;삭제")</f>
        <v>12</v>
      </c>
      <c r="J97" s="18" t="s">
        <v>58</v>
      </c>
      <c r="K97" s="30" t="s">
        <v>11</v>
      </c>
      <c r="L97" s="9" t="s">
        <v>358</v>
      </c>
      <c r="M97" s="9" t="s">
        <v>359</v>
      </c>
      <c r="N97" s="9" t="s">
        <v>360</v>
      </c>
      <c r="O97" s="9"/>
    </row>
    <row r="98" spans="1:15" ht="25">
      <c r="A98" s="18" t="s">
        <v>361</v>
      </c>
      <c r="B98" s="22" t="s">
        <v>346</v>
      </c>
      <c r="C98" s="22" t="s">
        <v>351</v>
      </c>
      <c r="D98" s="22" t="s">
        <v>357</v>
      </c>
      <c r="E98" s="22" t="s">
        <v>362</v>
      </c>
      <c r="F98" s="22" t="s">
        <v>128</v>
      </c>
      <c r="G98" s="9" t="str">
        <f t="shared" si="2"/>
        <v>MY / 내 자산 / 주문 내역 / 주문 상세</v>
      </c>
      <c r="H98" s="18" t="s">
        <v>57</v>
      </c>
      <c r="I98" s="18">
        <f>COUNTIFS('기능정의 상세'!$A$4:$A$1200,A98,'기능정의 상세'!$K$4:$K$1200,"&lt;&gt;삭제")</f>
        <v>5</v>
      </c>
      <c r="J98" s="18" t="s">
        <v>63</v>
      </c>
      <c r="K98" s="23" t="s">
        <v>7</v>
      </c>
      <c r="L98" s="9"/>
      <c r="M98" s="9" t="s">
        <v>363</v>
      </c>
      <c r="N98" s="9" t="s">
        <v>364</v>
      </c>
      <c r="O98" s="9"/>
    </row>
    <row r="99" spans="1:15" ht="25">
      <c r="A99" s="18" t="s">
        <v>365</v>
      </c>
      <c r="B99" s="29" t="s">
        <v>346</v>
      </c>
      <c r="C99" s="29" t="s">
        <v>351</v>
      </c>
      <c r="D99" s="29" t="s">
        <v>366</v>
      </c>
      <c r="E99" s="29" t="s">
        <v>55</v>
      </c>
      <c r="F99" s="29" t="s">
        <v>128</v>
      </c>
      <c r="G99" s="9" t="str">
        <f t="shared" si="2"/>
        <v>MY / 내 자산 / 계좌 변경</v>
      </c>
      <c r="H99" s="18"/>
      <c r="I99" s="18">
        <f>COUNTIFS('기능정의 상세'!$A$4:$A$1200,A99,'기능정의 상세'!$K$4:$K$1200,"&lt;&gt;삭제")</f>
        <v>5</v>
      </c>
      <c r="J99" s="18" t="s">
        <v>63</v>
      </c>
      <c r="K99" s="30" t="s">
        <v>11</v>
      </c>
      <c r="L99" s="9" t="s">
        <v>367</v>
      </c>
      <c r="M99" s="9" t="s">
        <v>368</v>
      </c>
      <c r="N99" s="9"/>
      <c r="O99" s="9"/>
    </row>
    <row r="100" spans="1:15" ht="25">
      <c r="A100" s="18" t="s">
        <v>369</v>
      </c>
      <c r="B100" s="29" t="s">
        <v>346</v>
      </c>
      <c r="C100" s="29" t="s">
        <v>351</v>
      </c>
      <c r="D100" s="19" t="s">
        <v>370</v>
      </c>
      <c r="E100" s="19" t="s">
        <v>55</v>
      </c>
      <c r="F100" s="19" t="s">
        <v>94</v>
      </c>
      <c r="G100" s="9" t="str">
        <f t="shared" si="2"/>
        <v>MY / 내 자산 / 손익 현황</v>
      </c>
      <c r="H100" s="18" t="s">
        <v>57</v>
      </c>
      <c r="I100" s="18">
        <f>COUNTIFS('기능정의 상세'!$A$4:$A$1200,A100,'기능정의 상세'!$K$4:$K$1200,"&lt;&gt;삭제")</f>
        <v>10</v>
      </c>
      <c r="J100" s="18" t="s">
        <v>58</v>
      </c>
      <c r="K100" s="30" t="s">
        <v>11</v>
      </c>
      <c r="L100" s="9" t="s">
        <v>371</v>
      </c>
      <c r="M100" s="9" t="s">
        <v>372</v>
      </c>
      <c r="N100" s="9" t="s">
        <v>373</v>
      </c>
      <c r="O100" s="9"/>
    </row>
    <row r="101" spans="1:15" ht="25">
      <c r="A101" s="18" t="s">
        <v>374</v>
      </c>
      <c r="B101" s="29" t="s">
        <v>346</v>
      </c>
      <c r="C101" s="29" t="s">
        <v>351</v>
      </c>
      <c r="D101" s="19" t="s">
        <v>375</v>
      </c>
      <c r="E101" s="19" t="s">
        <v>55</v>
      </c>
      <c r="F101" s="19" t="s">
        <v>56</v>
      </c>
      <c r="G101" s="9" t="str">
        <f t="shared" ref="G101:G132" si="3">B101&amp;IF(OR(C101="",C101="—"),"", " / "&amp;C101)&amp;IF(OR(D101="",D101="—"),"", " / "&amp;D101)&amp;IF(OR(E101="",E101="—"),"", " / "&amp;E101)</f>
        <v>MY / 내 자산 / 거래 한도</v>
      </c>
      <c r="H101" s="18" t="s">
        <v>57</v>
      </c>
      <c r="I101" s="18">
        <f>COUNTIFS('기능정의 상세'!$A$4:$A$1200,A101,'기능정의 상세'!$K$4:$K$1200,"&lt;&gt;삭제")</f>
        <v>12</v>
      </c>
      <c r="J101" s="18" t="s">
        <v>58</v>
      </c>
      <c r="K101" s="30" t="s">
        <v>11</v>
      </c>
      <c r="L101" s="9" t="s">
        <v>376</v>
      </c>
      <c r="M101" s="9" t="s">
        <v>377</v>
      </c>
      <c r="N101" s="9" t="s">
        <v>378</v>
      </c>
      <c r="O101" s="9"/>
    </row>
    <row r="102" spans="1:15">
      <c r="A102" s="18" t="s">
        <v>379</v>
      </c>
      <c r="B102" s="29" t="s">
        <v>346</v>
      </c>
      <c r="C102" s="19" t="s">
        <v>380</v>
      </c>
      <c r="D102" s="19" t="s">
        <v>381</v>
      </c>
      <c r="E102" s="19" t="s">
        <v>55</v>
      </c>
      <c r="F102" s="19" t="s">
        <v>94</v>
      </c>
      <c r="G102" s="9" t="str">
        <f t="shared" si="3"/>
        <v>MY / 관심 / 관심종목</v>
      </c>
      <c r="H102" s="18" t="s">
        <v>57</v>
      </c>
      <c r="I102" s="18">
        <f>COUNTIFS('기능정의 상세'!$A$4:$A$1200,A102,'기능정의 상세'!$K$4:$K$1200,"&lt;&gt;삭제")</f>
        <v>14</v>
      </c>
      <c r="J102" s="18" t="s">
        <v>58</v>
      </c>
      <c r="K102" s="30" t="s">
        <v>11</v>
      </c>
      <c r="L102" s="9" t="s">
        <v>382</v>
      </c>
      <c r="M102" s="9" t="s">
        <v>383</v>
      </c>
      <c r="N102" s="9" t="s">
        <v>384</v>
      </c>
      <c r="O102" s="9"/>
    </row>
    <row r="103" spans="1:15" ht="25">
      <c r="A103" s="18" t="s">
        <v>385</v>
      </c>
      <c r="B103" s="29" t="s">
        <v>346</v>
      </c>
      <c r="C103" s="29" t="s">
        <v>380</v>
      </c>
      <c r="D103" s="29" t="s">
        <v>386</v>
      </c>
      <c r="E103" s="19" t="s">
        <v>55</v>
      </c>
      <c r="F103" s="29" t="s">
        <v>94</v>
      </c>
      <c r="G103" s="9" t="str">
        <f t="shared" si="3"/>
        <v>MY / 관심 / 관심가게</v>
      </c>
      <c r="H103" s="18" t="s">
        <v>57</v>
      </c>
      <c r="I103" s="18">
        <f>COUNTIFS('기능정의 상세'!$A$4:$A$1200,A103,'기능정의 상세'!$K$4:$K$1200,"&lt;&gt;삭제")</f>
        <v>5</v>
      </c>
      <c r="J103" s="18" t="s">
        <v>63</v>
      </c>
      <c r="K103" s="30" t="s">
        <v>11</v>
      </c>
      <c r="L103" s="9" t="s">
        <v>387</v>
      </c>
      <c r="M103" s="9" t="s">
        <v>388</v>
      </c>
      <c r="N103" s="9"/>
      <c r="O103" s="9" t="s">
        <v>344</v>
      </c>
    </row>
    <row r="104" spans="1:15" ht="25">
      <c r="A104" s="18" t="s">
        <v>389</v>
      </c>
      <c r="B104" s="19" t="s">
        <v>346</v>
      </c>
      <c r="C104" s="19" t="s">
        <v>390</v>
      </c>
      <c r="D104" s="19" t="s">
        <v>105</v>
      </c>
      <c r="E104" s="19" t="s">
        <v>55</v>
      </c>
      <c r="F104" s="19" t="s">
        <v>56</v>
      </c>
      <c r="G104" s="9" t="str">
        <f t="shared" si="3"/>
        <v>MY / 활동 내역 / 커뮤니티</v>
      </c>
      <c r="H104" s="18"/>
      <c r="I104" s="18">
        <f>COUNTIFS('기능정의 상세'!$A$4:$A$1200,A104,'기능정의 상세'!$K$4:$K$1200,"&lt;&gt;삭제")</f>
        <v>4</v>
      </c>
      <c r="J104" s="18" t="s">
        <v>63</v>
      </c>
      <c r="K104" s="20" t="s">
        <v>9</v>
      </c>
      <c r="L104" s="9"/>
      <c r="M104" s="9" t="s">
        <v>391</v>
      </c>
      <c r="N104" s="9"/>
      <c r="O104" s="9" t="s">
        <v>59</v>
      </c>
    </row>
    <row r="105" spans="1:15">
      <c r="A105" s="18" t="s">
        <v>392</v>
      </c>
      <c r="B105" s="19" t="s">
        <v>346</v>
      </c>
      <c r="C105" s="19" t="s">
        <v>390</v>
      </c>
      <c r="D105" s="19" t="s">
        <v>105</v>
      </c>
      <c r="E105" s="19" t="s">
        <v>393</v>
      </c>
      <c r="F105" s="19" t="s">
        <v>103</v>
      </c>
      <c r="G105" s="9" t="str">
        <f t="shared" si="3"/>
        <v>MY / 활동 내역 / 커뮤니티 / 게시글</v>
      </c>
      <c r="H105" s="18" t="s">
        <v>57</v>
      </c>
      <c r="I105" s="18">
        <f>COUNTIFS('기능정의 상세'!$A$4:$A$1200,A105,'기능정의 상세'!$K$4:$K$1200,"&lt;&gt;삭제")</f>
        <v>4</v>
      </c>
      <c r="J105" s="18" t="s">
        <v>63</v>
      </c>
      <c r="K105" s="18" t="s">
        <v>17</v>
      </c>
      <c r="L105" s="9"/>
      <c r="M105" s="9"/>
      <c r="N105" s="9"/>
      <c r="O105" s="9" t="s">
        <v>59</v>
      </c>
    </row>
    <row r="106" spans="1:15">
      <c r="A106" s="18" t="s">
        <v>394</v>
      </c>
      <c r="B106" s="19" t="s">
        <v>346</v>
      </c>
      <c r="C106" s="19" t="s">
        <v>390</v>
      </c>
      <c r="D106" s="19" t="s">
        <v>105</v>
      </c>
      <c r="E106" s="19" t="s">
        <v>393</v>
      </c>
      <c r="F106" s="19" t="s">
        <v>103</v>
      </c>
      <c r="G106" s="9" t="str">
        <f t="shared" si="3"/>
        <v>MY / 활동 내역 / 커뮤니티 / 게시글</v>
      </c>
      <c r="H106" s="18"/>
      <c r="I106" s="18">
        <f>COUNTIFS('기능정의 상세'!$A$4:$A$1200,A106,'기능정의 상세'!$K$4:$K$1200,"&lt;&gt;삭제")</f>
        <v>3</v>
      </c>
      <c r="J106" s="18" t="s">
        <v>63</v>
      </c>
      <c r="K106" s="18" t="s">
        <v>17</v>
      </c>
      <c r="L106" s="9"/>
      <c r="M106" s="9"/>
      <c r="N106" s="9"/>
      <c r="O106" s="9" t="s">
        <v>59</v>
      </c>
    </row>
    <row r="107" spans="1:15">
      <c r="A107" s="18" t="s">
        <v>395</v>
      </c>
      <c r="B107" s="19" t="s">
        <v>346</v>
      </c>
      <c r="C107" s="19" t="s">
        <v>390</v>
      </c>
      <c r="D107" s="19" t="s">
        <v>105</v>
      </c>
      <c r="E107" s="19" t="s">
        <v>396</v>
      </c>
      <c r="F107" s="21" t="s">
        <v>119</v>
      </c>
      <c r="G107" s="9" t="str">
        <f t="shared" si="3"/>
        <v>MY / 활동 내역 / 커뮤니티 / 게시글&gt; 필터</v>
      </c>
      <c r="H107" s="18"/>
      <c r="I107" s="18">
        <f>COUNTIFS('기능정의 상세'!$A$4:$A$1200,A107,'기능정의 상세'!$K$4:$K$1200,"&lt;&gt;삭제")</f>
        <v>1</v>
      </c>
      <c r="J107" s="18" t="s">
        <v>63</v>
      </c>
      <c r="K107" s="20" t="s">
        <v>9</v>
      </c>
      <c r="L107" s="9" t="s">
        <v>397</v>
      </c>
      <c r="M107" s="9" t="s">
        <v>398</v>
      </c>
      <c r="N107" s="9"/>
      <c r="O107" s="9" t="s">
        <v>59</v>
      </c>
    </row>
    <row r="108" spans="1:15">
      <c r="A108" s="18" t="s">
        <v>399</v>
      </c>
      <c r="B108" s="19" t="s">
        <v>346</v>
      </c>
      <c r="C108" s="19" t="s">
        <v>390</v>
      </c>
      <c r="D108" s="19" t="s">
        <v>105</v>
      </c>
      <c r="E108" s="19" t="s">
        <v>400</v>
      </c>
      <c r="F108" s="19" t="s">
        <v>103</v>
      </c>
      <c r="G108" s="9" t="str">
        <f t="shared" si="3"/>
        <v>MY / 활동 내역 / 커뮤니티 / 댓글</v>
      </c>
      <c r="H108" s="18" t="s">
        <v>57</v>
      </c>
      <c r="I108" s="18">
        <f>COUNTIFS('기능정의 상세'!$A$4:$A$1200,A108,'기능정의 상세'!$K$4:$K$1200,"&lt;&gt;삭제")</f>
        <v>3</v>
      </c>
      <c r="J108" s="18" t="s">
        <v>63</v>
      </c>
      <c r="K108" s="18" t="s">
        <v>17</v>
      </c>
      <c r="L108" s="9"/>
      <c r="M108" s="9"/>
      <c r="N108" s="9"/>
      <c r="O108" s="9" t="s">
        <v>59</v>
      </c>
    </row>
    <row r="109" spans="1:15">
      <c r="A109" s="18" t="s">
        <v>401</v>
      </c>
      <c r="B109" s="19" t="s">
        <v>346</v>
      </c>
      <c r="C109" s="19" t="s">
        <v>390</v>
      </c>
      <c r="D109" s="19" t="s">
        <v>105</v>
      </c>
      <c r="E109" s="19" t="s">
        <v>400</v>
      </c>
      <c r="F109" s="19" t="s">
        <v>103</v>
      </c>
      <c r="G109" s="9" t="str">
        <f t="shared" si="3"/>
        <v>MY / 활동 내역 / 커뮤니티 / 댓글</v>
      </c>
      <c r="H109" s="18"/>
      <c r="I109" s="18">
        <f>COUNTIFS('기능정의 상세'!$A$4:$A$1200,A109,'기능정의 상세'!$K$4:$K$1200,"&lt;&gt;삭제")</f>
        <v>2</v>
      </c>
      <c r="J109" s="18" t="s">
        <v>63</v>
      </c>
      <c r="K109" s="20" t="s">
        <v>9</v>
      </c>
      <c r="L109" s="9"/>
      <c r="M109" s="9" t="s">
        <v>402</v>
      </c>
      <c r="N109" s="9"/>
      <c r="O109" s="9" t="s">
        <v>59</v>
      </c>
    </row>
    <row r="110" spans="1:15">
      <c r="A110" s="18" t="s">
        <v>403</v>
      </c>
      <c r="B110" s="19" t="s">
        <v>346</v>
      </c>
      <c r="C110" s="19" t="s">
        <v>390</v>
      </c>
      <c r="D110" s="19" t="s">
        <v>404</v>
      </c>
      <c r="E110" s="19" t="s">
        <v>55</v>
      </c>
      <c r="F110" s="19" t="s">
        <v>56</v>
      </c>
      <c r="G110" s="9" t="str">
        <f t="shared" si="3"/>
        <v>MY / 활동 내역 / 문의내역</v>
      </c>
      <c r="H110" s="18" t="s">
        <v>57</v>
      </c>
      <c r="I110" s="18">
        <f>COUNTIFS('기능정의 상세'!$A$4:$A$1200,A110,'기능정의 상세'!$K$4:$K$1200,"&lt;&gt;삭제")</f>
        <v>3</v>
      </c>
      <c r="J110" s="18" t="s">
        <v>63</v>
      </c>
      <c r="K110" s="18" t="s">
        <v>17</v>
      </c>
      <c r="L110" s="9"/>
      <c r="M110" s="9"/>
      <c r="N110" s="9"/>
      <c r="O110" s="9" t="s">
        <v>59</v>
      </c>
    </row>
    <row r="111" spans="1:15">
      <c r="A111" s="18" t="s">
        <v>405</v>
      </c>
      <c r="B111" s="19" t="s">
        <v>346</v>
      </c>
      <c r="C111" s="19" t="s">
        <v>390</v>
      </c>
      <c r="D111" s="19" t="s">
        <v>404</v>
      </c>
      <c r="E111" s="19" t="s">
        <v>55</v>
      </c>
      <c r="F111" s="19" t="s">
        <v>56</v>
      </c>
      <c r="G111" s="9" t="str">
        <f t="shared" si="3"/>
        <v>MY / 활동 내역 / 문의내역</v>
      </c>
      <c r="H111" s="18"/>
      <c r="I111" s="18">
        <f>COUNTIFS('기능정의 상세'!$A$4:$A$1200,A111,'기능정의 상세'!$K$4:$K$1200,"&lt;&gt;삭제")</f>
        <v>2</v>
      </c>
      <c r="J111" s="18" t="s">
        <v>63</v>
      </c>
      <c r="K111" s="18" t="s">
        <v>17</v>
      </c>
      <c r="L111" s="9"/>
      <c r="M111" s="9"/>
      <c r="N111" s="9"/>
      <c r="O111" s="9" t="s">
        <v>59</v>
      </c>
    </row>
    <row r="112" spans="1:15">
      <c r="A112" s="18" t="s">
        <v>406</v>
      </c>
      <c r="B112" s="19" t="s">
        <v>346</v>
      </c>
      <c r="C112" s="19" t="s">
        <v>390</v>
      </c>
      <c r="D112" s="19" t="s">
        <v>404</v>
      </c>
      <c r="E112" s="19" t="s">
        <v>407</v>
      </c>
      <c r="F112" s="19" t="s">
        <v>56</v>
      </c>
      <c r="G112" s="9" t="str">
        <f t="shared" si="3"/>
        <v>MY / 활동 내역 / 문의내역 / 1&gt; 2</v>
      </c>
      <c r="H112" s="18"/>
      <c r="I112" s="18">
        <f>COUNTIFS('기능정의 상세'!$A$4:$A$1200,A112,'기능정의 상세'!$K$4:$K$1200,"&lt;&gt;삭제")</f>
        <v>4</v>
      </c>
      <c r="J112" s="18" t="s">
        <v>63</v>
      </c>
      <c r="K112" s="20" t="s">
        <v>9</v>
      </c>
      <c r="L112" s="9"/>
      <c r="M112" s="9" t="s">
        <v>408</v>
      </c>
      <c r="N112" s="9"/>
      <c r="O112" s="9" t="s">
        <v>59</v>
      </c>
    </row>
    <row r="113" spans="1:15">
      <c r="A113" s="18" t="s">
        <v>409</v>
      </c>
      <c r="B113" s="19" t="s">
        <v>346</v>
      </c>
      <c r="C113" s="19" t="s">
        <v>390</v>
      </c>
      <c r="D113" s="19" t="s">
        <v>404</v>
      </c>
      <c r="E113" s="19" t="s">
        <v>410</v>
      </c>
      <c r="F113" s="21" t="s">
        <v>119</v>
      </c>
      <c r="G113" s="9" t="str">
        <f t="shared" si="3"/>
        <v>MY / 활동 내역 / 문의내역 / 2&gt; 2</v>
      </c>
      <c r="H113" s="18"/>
      <c r="I113" s="18">
        <f>COUNTIFS('기능정의 상세'!$A$4:$A$1200,A113,'기능정의 상세'!$K$4:$K$1200,"&lt;&gt;삭제")</f>
        <v>2</v>
      </c>
      <c r="J113" s="18" t="s">
        <v>63</v>
      </c>
      <c r="K113" s="20" t="s">
        <v>9</v>
      </c>
      <c r="L113" s="9" t="s">
        <v>397</v>
      </c>
      <c r="M113" s="9" t="s">
        <v>411</v>
      </c>
      <c r="N113" s="9"/>
      <c r="O113" s="9" t="s">
        <v>59</v>
      </c>
    </row>
    <row r="114" spans="1:15" ht="25">
      <c r="A114" s="18" t="s">
        <v>412</v>
      </c>
      <c r="B114" s="19" t="s">
        <v>346</v>
      </c>
      <c r="C114" s="21" t="s">
        <v>413</v>
      </c>
      <c r="D114" s="21" t="s">
        <v>414</v>
      </c>
      <c r="E114" s="19" t="s">
        <v>55</v>
      </c>
      <c r="F114" s="19" t="s">
        <v>56</v>
      </c>
      <c r="G114" s="9" t="str">
        <f t="shared" si="3"/>
        <v>MY / 내 정보 / 재인증</v>
      </c>
      <c r="H114" s="18" t="s">
        <v>57</v>
      </c>
      <c r="I114" s="18">
        <f>COUNTIFS('기능정의 상세'!$A$4:$A$1200,A114,'기능정의 상세'!$K$4:$K$1200,"&lt;&gt;삭제")</f>
        <v>4</v>
      </c>
      <c r="J114" s="18" t="s">
        <v>63</v>
      </c>
      <c r="K114" s="20" t="s">
        <v>9</v>
      </c>
      <c r="L114" s="9" t="s">
        <v>415</v>
      </c>
      <c r="M114" s="9" t="s">
        <v>416</v>
      </c>
      <c r="N114" s="9"/>
      <c r="O114" s="9"/>
    </row>
    <row r="115" spans="1:15" ht="25">
      <c r="A115" s="18" t="s">
        <v>417</v>
      </c>
      <c r="B115" s="19" t="s">
        <v>346</v>
      </c>
      <c r="C115" s="19" t="s">
        <v>413</v>
      </c>
      <c r="D115" s="19" t="s">
        <v>55</v>
      </c>
      <c r="E115" s="19" t="s">
        <v>55</v>
      </c>
      <c r="F115" s="19" t="s">
        <v>56</v>
      </c>
      <c r="G115" s="9" t="str">
        <f t="shared" si="3"/>
        <v>MY / 내 정보</v>
      </c>
      <c r="H115" s="18"/>
      <c r="I115" s="18">
        <f>COUNTIFS('기능정의 상세'!$A$4:$A$1200,A115,'기능정의 상세'!$K$4:$K$1200,"&lt;&gt;삭제")</f>
        <v>6</v>
      </c>
      <c r="J115" s="18" t="s">
        <v>63</v>
      </c>
      <c r="K115" s="20" t="s">
        <v>9</v>
      </c>
      <c r="L115" s="9"/>
      <c r="M115" s="9" t="s">
        <v>418</v>
      </c>
      <c r="N115" s="9"/>
      <c r="O115" s="9" t="s">
        <v>59</v>
      </c>
    </row>
    <row r="116" spans="1:15">
      <c r="A116" s="18" t="s">
        <v>419</v>
      </c>
      <c r="B116" s="19" t="s">
        <v>346</v>
      </c>
      <c r="C116" s="24" t="s">
        <v>413</v>
      </c>
      <c r="D116" s="19" t="s">
        <v>420</v>
      </c>
      <c r="E116" s="19" t="s">
        <v>55</v>
      </c>
      <c r="F116" s="19" t="s">
        <v>56</v>
      </c>
      <c r="G116" s="9" t="str">
        <f t="shared" si="3"/>
        <v>MY / 내 정보 / 이메일 1</v>
      </c>
      <c r="H116" s="18"/>
      <c r="I116" s="18">
        <f>COUNTIFS('기능정의 상세'!$A$4:$A$1200,A116,'기능정의 상세'!$K$4:$K$1200,"&lt;&gt;삭제")</f>
        <v>3</v>
      </c>
      <c r="J116" s="18" t="s">
        <v>63</v>
      </c>
      <c r="K116" s="25" t="s">
        <v>13</v>
      </c>
      <c r="L116" s="9" t="s">
        <v>421</v>
      </c>
      <c r="M116" s="9" t="s">
        <v>422</v>
      </c>
      <c r="N116" s="9"/>
      <c r="O116" s="9" t="s">
        <v>59</v>
      </c>
    </row>
    <row r="117" spans="1:15">
      <c r="A117" s="18" t="s">
        <v>423</v>
      </c>
      <c r="B117" s="19" t="s">
        <v>346</v>
      </c>
      <c r="C117" s="24" t="s">
        <v>413</v>
      </c>
      <c r="D117" s="19" t="s">
        <v>424</v>
      </c>
      <c r="E117" s="19" t="s">
        <v>55</v>
      </c>
      <c r="F117" s="19" t="s">
        <v>56</v>
      </c>
      <c r="G117" s="9" t="str">
        <f t="shared" si="3"/>
        <v>MY / 내 정보 / 이메일 2</v>
      </c>
      <c r="H117" s="18"/>
      <c r="I117" s="18">
        <f>COUNTIFS('기능정의 상세'!$A$4:$A$1200,A117,'기능정의 상세'!$K$4:$K$1200,"&lt;&gt;삭제")</f>
        <v>2</v>
      </c>
      <c r="J117" s="18" t="s">
        <v>63</v>
      </c>
      <c r="K117" s="25" t="s">
        <v>13</v>
      </c>
      <c r="L117" s="9" t="s">
        <v>425</v>
      </c>
      <c r="M117" s="9" t="s">
        <v>422</v>
      </c>
      <c r="N117" s="9"/>
      <c r="O117" s="9" t="s">
        <v>59</v>
      </c>
    </row>
    <row r="118" spans="1:15">
      <c r="A118" s="18" t="s">
        <v>426</v>
      </c>
      <c r="B118" s="19" t="s">
        <v>346</v>
      </c>
      <c r="C118" s="24" t="s">
        <v>413</v>
      </c>
      <c r="D118" s="19" t="s">
        <v>427</v>
      </c>
      <c r="E118" s="19" t="s">
        <v>55</v>
      </c>
      <c r="F118" s="19" t="s">
        <v>56</v>
      </c>
      <c r="G118" s="9" t="str">
        <f t="shared" si="3"/>
        <v>MY / 내 정보 / 자택주소 1</v>
      </c>
      <c r="H118" s="18"/>
      <c r="I118" s="18">
        <f>COUNTIFS('기능정의 상세'!$A$4:$A$1200,A118,'기능정의 상세'!$K$4:$K$1200,"&lt;&gt;삭제")</f>
        <v>2</v>
      </c>
      <c r="J118" s="18" t="s">
        <v>63</v>
      </c>
      <c r="K118" s="25" t="s">
        <v>13</v>
      </c>
      <c r="L118" s="9" t="s">
        <v>428</v>
      </c>
      <c r="M118" s="9" t="s">
        <v>422</v>
      </c>
      <c r="N118" s="9"/>
      <c r="O118" s="9" t="s">
        <v>59</v>
      </c>
    </row>
    <row r="119" spans="1:15">
      <c r="A119" s="18" t="s">
        <v>429</v>
      </c>
      <c r="B119" s="19" t="s">
        <v>346</v>
      </c>
      <c r="C119" s="24" t="s">
        <v>413</v>
      </c>
      <c r="D119" s="19" t="s">
        <v>430</v>
      </c>
      <c r="E119" s="19" t="s">
        <v>55</v>
      </c>
      <c r="F119" s="19" t="s">
        <v>56</v>
      </c>
      <c r="G119" s="9" t="str">
        <f t="shared" si="3"/>
        <v>MY / 내 정보 / 자택주소 2</v>
      </c>
      <c r="H119" s="18"/>
      <c r="I119" s="18">
        <f>COUNTIFS('기능정의 상세'!$A$4:$A$1200,A119,'기능정의 상세'!$K$4:$K$1200,"&lt;&gt;삭제")</f>
        <v>1</v>
      </c>
      <c r="J119" s="18" t="s">
        <v>63</v>
      </c>
      <c r="K119" s="25" t="s">
        <v>13</v>
      </c>
      <c r="L119" s="9" t="s">
        <v>431</v>
      </c>
      <c r="M119" s="9" t="s">
        <v>422</v>
      </c>
      <c r="N119" s="9"/>
      <c r="O119" s="9" t="s">
        <v>59</v>
      </c>
    </row>
    <row r="120" spans="1:15">
      <c r="A120" s="18" t="s">
        <v>432</v>
      </c>
      <c r="B120" s="19" t="s">
        <v>346</v>
      </c>
      <c r="C120" s="24" t="s">
        <v>413</v>
      </c>
      <c r="D120" s="19" t="s">
        <v>433</v>
      </c>
      <c r="E120" s="19" t="s">
        <v>55</v>
      </c>
      <c r="F120" s="19" t="s">
        <v>56</v>
      </c>
      <c r="G120" s="9" t="str">
        <f t="shared" si="3"/>
        <v>MY / 내 정보 / 직업 1</v>
      </c>
      <c r="H120" s="18"/>
      <c r="I120" s="18">
        <f>COUNTIFS('기능정의 상세'!$A$4:$A$1200,A120,'기능정의 상세'!$K$4:$K$1200,"&lt;&gt;삭제")</f>
        <v>3</v>
      </c>
      <c r="J120" s="18" t="s">
        <v>63</v>
      </c>
      <c r="K120" s="25" t="s">
        <v>13</v>
      </c>
      <c r="L120" s="9" t="s">
        <v>434</v>
      </c>
      <c r="M120" s="9" t="s">
        <v>422</v>
      </c>
      <c r="N120" s="9"/>
      <c r="O120" s="9" t="s">
        <v>59</v>
      </c>
    </row>
    <row r="121" spans="1:15">
      <c r="A121" s="18" t="s">
        <v>435</v>
      </c>
      <c r="B121" s="19" t="s">
        <v>346</v>
      </c>
      <c r="C121" s="24" t="s">
        <v>413</v>
      </c>
      <c r="D121" s="19" t="s">
        <v>436</v>
      </c>
      <c r="E121" s="19" t="s">
        <v>55</v>
      </c>
      <c r="F121" s="19" t="s">
        <v>56</v>
      </c>
      <c r="G121" s="9" t="str">
        <f t="shared" si="3"/>
        <v>MY / 내 정보 / 직업 2</v>
      </c>
      <c r="H121" s="18"/>
      <c r="I121" s="18">
        <f>COUNTIFS('기능정의 상세'!$A$4:$A$1200,A121,'기능정의 상세'!$K$4:$K$1200,"&lt;&gt;삭제")</f>
        <v>3</v>
      </c>
      <c r="J121" s="18" t="s">
        <v>63</v>
      </c>
      <c r="K121" s="25" t="s">
        <v>13</v>
      </c>
      <c r="L121" s="9" t="s">
        <v>437</v>
      </c>
      <c r="M121" s="9" t="s">
        <v>422</v>
      </c>
      <c r="N121" s="9"/>
      <c r="O121" s="9" t="s">
        <v>59</v>
      </c>
    </row>
    <row r="122" spans="1:15">
      <c r="A122" s="18" t="s">
        <v>438</v>
      </c>
      <c r="B122" s="19" t="s">
        <v>346</v>
      </c>
      <c r="C122" s="24" t="s">
        <v>413</v>
      </c>
      <c r="D122" s="19" t="s">
        <v>439</v>
      </c>
      <c r="E122" s="19" t="s">
        <v>55</v>
      </c>
      <c r="F122" s="19" t="s">
        <v>56</v>
      </c>
      <c r="G122" s="9" t="str">
        <f t="shared" si="3"/>
        <v>MY / 내 정보 / 직업 3</v>
      </c>
      <c r="H122" s="18"/>
      <c r="I122" s="18">
        <f>COUNTIFS('기능정의 상세'!$A$4:$A$1200,A122,'기능정의 상세'!$K$4:$K$1200,"&lt;&gt;삭제")</f>
        <v>3</v>
      </c>
      <c r="J122" s="18" t="s">
        <v>63</v>
      </c>
      <c r="K122" s="25" t="s">
        <v>13</v>
      </c>
      <c r="L122" s="9" t="s">
        <v>440</v>
      </c>
      <c r="M122" s="9" t="s">
        <v>422</v>
      </c>
      <c r="N122" s="9"/>
      <c r="O122" s="9" t="s">
        <v>59</v>
      </c>
    </row>
    <row r="123" spans="1:15" ht="25">
      <c r="A123" s="18" t="s">
        <v>441</v>
      </c>
      <c r="B123" s="19" t="s">
        <v>346</v>
      </c>
      <c r="C123" s="24" t="s">
        <v>413</v>
      </c>
      <c r="D123" s="19" t="s">
        <v>442</v>
      </c>
      <c r="E123" s="24" t="s">
        <v>443</v>
      </c>
      <c r="F123" s="19" t="s">
        <v>56</v>
      </c>
      <c r="G123" s="9" t="str">
        <f t="shared" si="3"/>
        <v>MY / 내 정보 / 투자 성향 분석 / 실시 Q1</v>
      </c>
      <c r="H123" s="18" t="s">
        <v>57</v>
      </c>
      <c r="I123" s="18">
        <f>COUNTIFS('기능정의 상세'!$A$4:$A$1200,A123,'기능정의 상세'!$K$4:$K$1200,"&lt;&gt;삭제")</f>
        <v>2</v>
      </c>
      <c r="J123" s="18" t="s">
        <v>63</v>
      </c>
      <c r="K123" s="25" t="s">
        <v>13</v>
      </c>
      <c r="L123" s="9" t="s">
        <v>444</v>
      </c>
      <c r="M123" s="9" t="s">
        <v>445</v>
      </c>
      <c r="N123" s="9"/>
      <c r="O123" s="9"/>
    </row>
    <row r="124" spans="1:15" ht="25">
      <c r="A124" s="18" t="s">
        <v>446</v>
      </c>
      <c r="B124" s="19" t="s">
        <v>346</v>
      </c>
      <c r="C124" s="29" t="s">
        <v>413</v>
      </c>
      <c r="D124" s="29" t="s">
        <v>442</v>
      </c>
      <c r="E124" s="29" t="s">
        <v>447</v>
      </c>
      <c r="F124" s="19" t="s">
        <v>56</v>
      </c>
      <c r="G124" s="9" t="str">
        <f t="shared" si="3"/>
        <v>MY / 내 정보 / 투자 성향 분석 / 실시 Q2</v>
      </c>
      <c r="H124" s="18"/>
      <c r="I124" s="18">
        <f>COUNTIFS('기능정의 상세'!$A$4:$A$1200,A124,'기능정의 상세'!$K$4:$K$1200,"&lt;&gt;삭제")</f>
        <v>3</v>
      </c>
      <c r="J124" s="18" t="s">
        <v>63</v>
      </c>
      <c r="K124" s="30" t="s">
        <v>11</v>
      </c>
      <c r="L124" s="9" t="s">
        <v>448</v>
      </c>
      <c r="M124" s="9" t="s">
        <v>449</v>
      </c>
      <c r="N124" s="9"/>
      <c r="O124" s="9"/>
    </row>
    <row r="125" spans="1:15" ht="25">
      <c r="A125" s="18" t="s">
        <v>450</v>
      </c>
      <c r="B125" s="19" t="s">
        <v>346</v>
      </c>
      <c r="C125" s="29" t="s">
        <v>413</v>
      </c>
      <c r="D125" s="29" t="s">
        <v>442</v>
      </c>
      <c r="E125" s="29" t="s">
        <v>451</v>
      </c>
      <c r="F125" s="19" t="s">
        <v>56</v>
      </c>
      <c r="G125" s="9" t="str">
        <f t="shared" si="3"/>
        <v>MY / 내 정보 / 투자 성향 분석 / 실시 Q3</v>
      </c>
      <c r="H125" s="18"/>
      <c r="I125" s="18">
        <f>COUNTIFS('기능정의 상세'!$A$4:$A$1200,A125,'기능정의 상세'!$K$4:$K$1200,"&lt;&gt;삭제")</f>
        <v>3</v>
      </c>
      <c r="J125" s="18" t="s">
        <v>63</v>
      </c>
      <c r="K125" s="30" t="s">
        <v>11</v>
      </c>
      <c r="L125" s="9" t="s">
        <v>452</v>
      </c>
      <c r="M125" s="9" t="s">
        <v>453</v>
      </c>
      <c r="N125" s="9"/>
      <c r="O125" s="9" t="s">
        <v>59</v>
      </c>
    </row>
    <row r="126" spans="1:15" ht="25">
      <c r="A126" s="18" t="s">
        <v>454</v>
      </c>
      <c r="B126" s="19" t="s">
        <v>346</v>
      </c>
      <c r="C126" s="29" t="s">
        <v>413</v>
      </c>
      <c r="D126" s="29" t="s">
        <v>442</v>
      </c>
      <c r="E126" s="29" t="s">
        <v>455</v>
      </c>
      <c r="F126" s="19" t="s">
        <v>56</v>
      </c>
      <c r="G126" s="9" t="str">
        <f t="shared" si="3"/>
        <v>MY / 내 정보 / 투자 성향 분석 / 실시 Q4</v>
      </c>
      <c r="H126" s="18"/>
      <c r="I126" s="18">
        <f>COUNTIFS('기능정의 상세'!$A$4:$A$1200,A126,'기능정의 상세'!$K$4:$K$1200,"&lt;&gt;삭제")</f>
        <v>3</v>
      </c>
      <c r="J126" s="18" t="s">
        <v>63</v>
      </c>
      <c r="K126" s="30" t="s">
        <v>11</v>
      </c>
      <c r="L126" s="9" t="s">
        <v>456</v>
      </c>
      <c r="M126" s="9" t="s">
        <v>457</v>
      </c>
      <c r="N126" s="9"/>
      <c r="O126" s="9" t="s">
        <v>59</v>
      </c>
    </row>
    <row r="127" spans="1:15" ht="25">
      <c r="A127" s="18" t="s">
        <v>458</v>
      </c>
      <c r="B127" s="19" t="s">
        <v>346</v>
      </c>
      <c r="C127" s="29" t="s">
        <v>413</v>
      </c>
      <c r="D127" s="29" t="s">
        <v>442</v>
      </c>
      <c r="E127" s="29" t="s">
        <v>459</v>
      </c>
      <c r="F127" s="19" t="s">
        <v>56</v>
      </c>
      <c r="G127" s="9" t="str">
        <f t="shared" si="3"/>
        <v>MY / 내 정보 / 투자 성향 분석 / 실시 Q5</v>
      </c>
      <c r="H127" s="18"/>
      <c r="I127" s="18">
        <f>COUNTIFS('기능정의 상세'!$A$4:$A$1200,A127,'기능정의 상세'!$K$4:$K$1200,"&lt;&gt;삭제")</f>
        <v>3</v>
      </c>
      <c r="J127" s="18" t="s">
        <v>63</v>
      </c>
      <c r="K127" s="30" t="s">
        <v>11</v>
      </c>
      <c r="L127" s="9" t="s">
        <v>460</v>
      </c>
      <c r="M127" s="9" t="s">
        <v>461</v>
      </c>
      <c r="N127" s="9"/>
      <c r="O127" s="9" t="s">
        <v>59</v>
      </c>
    </row>
    <row r="128" spans="1:15" ht="25">
      <c r="A128" s="18" t="s">
        <v>462</v>
      </c>
      <c r="B128" s="19" t="s">
        <v>346</v>
      </c>
      <c r="C128" s="29" t="s">
        <v>413</v>
      </c>
      <c r="D128" s="29" t="s">
        <v>442</v>
      </c>
      <c r="E128" s="29" t="s">
        <v>463</v>
      </c>
      <c r="F128" s="19" t="s">
        <v>56</v>
      </c>
      <c r="G128" s="9" t="str">
        <f t="shared" si="3"/>
        <v>MY / 내 정보 / 투자 성향 분석 / 실시 Q6</v>
      </c>
      <c r="H128" s="18"/>
      <c r="I128" s="18">
        <f>COUNTIFS('기능정의 상세'!$A$4:$A$1200,A128,'기능정의 상세'!$K$4:$K$1200,"&lt;&gt;삭제")</f>
        <v>3</v>
      </c>
      <c r="J128" s="18" t="s">
        <v>63</v>
      </c>
      <c r="K128" s="30" t="s">
        <v>11</v>
      </c>
      <c r="L128" s="9" t="s">
        <v>464</v>
      </c>
      <c r="M128" s="9" t="s">
        <v>465</v>
      </c>
      <c r="N128" s="9"/>
      <c r="O128" s="9" t="s">
        <v>59</v>
      </c>
    </row>
    <row r="129" spans="1:15" ht="25">
      <c r="A129" s="18" t="s">
        <v>466</v>
      </c>
      <c r="B129" s="19" t="s">
        <v>346</v>
      </c>
      <c r="C129" s="21" t="s">
        <v>413</v>
      </c>
      <c r="D129" s="19" t="s">
        <v>442</v>
      </c>
      <c r="E129" s="19" t="s">
        <v>467</v>
      </c>
      <c r="F129" s="19" t="s">
        <v>56</v>
      </c>
      <c r="G129" s="9" t="str">
        <f t="shared" si="3"/>
        <v>MY / 내 정보 / 투자 성향 분석 / 결과</v>
      </c>
      <c r="H129" s="18" t="s">
        <v>57</v>
      </c>
      <c r="I129" s="18">
        <f>COUNTIFS('기능정의 상세'!$A$4:$A$1200,A129,'기능정의 상세'!$K$4:$K$1200,"&lt;&gt;삭제")</f>
        <v>5</v>
      </c>
      <c r="J129" s="18" t="s">
        <v>63</v>
      </c>
      <c r="K129" s="20" t="s">
        <v>9</v>
      </c>
      <c r="L129" s="9" t="s">
        <v>468</v>
      </c>
      <c r="M129" s="9" t="s">
        <v>469</v>
      </c>
      <c r="N129" s="9"/>
      <c r="O129" s="9"/>
    </row>
    <row r="130" spans="1:15" ht="48">
      <c r="A130" s="18" t="s">
        <v>470</v>
      </c>
      <c r="B130" s="19" t="s">
        <v>346</v>
      </c>
      <c r="C130" s="21" t="s">
        <v>413</v>
      </c>
      <c r="D130" s="19" t="s">
        <v>471</v>
      </c>
      <c r="E130" s="19" t="s">
        <v>55</v>
      </c>
      <c r="F130" s="19" t="s">
        <v>56</v>
      </c>
      <c r="G130" s="9" t="str">
        <f t="shared" si="3"/>
        <v>MY / 내 정보 / 투자자 자격 신청</v>
      </c>
      <c r="H130" s="18" t="s">
        <v>57</v>
      </c>
      <c r="I130" s="18">
        <f>COUNTIFS('기능정의 상세'!$A$4:$A$1200,A130,'기능정의 상세'!$K$4:$K$1200,"&lt;&gt;삭제")</f>
        <v>9</v>
      </c>
      <c r="J130" s="18" t="s">
        <v>63</v>
      </c>
      <c r="K130" s="20" t="s">
        <v>9</v>
      </c>
      <c r="L130" s="9" t="s">
        <v>472</v>
      </c>
      <c r="M130" s="9" t="s">
        <v>473</v>
      </c>
      <c r="N130" s="33" t="s">
        <v>2352</v>
      </c>
      <c r="O130" s="9"/>
    </row>
    <row r="131" spans="1:15" ht="25">
      <c r="A131" s="18" t="s">
        <v>474</v>
      </c>
      <c r="B131" s="29" t="s">
        <v>346</v>
      </c>
      <c r="C131" s="29" t="s">
        <v>413</v>
      </c>
      <c r="D131" s="29" t="s">
        <v>471</v>
      </c>
      <c r="E131" s="29" t="s">
        <v>475</v>
      </c>
      <c r="F131" s="19" t="s">
        <v>56</v>
      </c>
      <c r="G131" s="9" t="str">
        <f t="shared" si="3"/>
        <v>MY / 내 정보 / 투자자 자격 신청 / 서류 제출</v>
      </c>
      <c r="H131" s="18" t="s">
        <v>57</v>
      </c>
      <c r="I131" s="18">
        <f>COUNTIFS('기능정의 상세'!$A$4:$A$1200,A131,'기능정의 상세'!$K$4:$K$1200,"&lt;&gt;삭제")</f>
        <v>5</v>
      </c>
      <c r="J131" s="18" t="s">
        <v>63</v>
      </c>
      <c r="K131" s="30" t="s">
        <v>11</v>
      </c>
      <c r="L131" s="9" t="s">
        <v>476</v>
      </c>
      <c r="M131" s="9" t="s">
        <v>477</v>
      </c>
      <c r="N131" s="9" t="s">
        <v>478</v>
      </c>
      <c r="O131" s="9"/>
    </row>
    <row r="132" spans="1:15" ht="25">
      <c r="A132" s="18" t="s">
        <v>479</v>
      </c>
      <c r="B132" s="29" t="s">
        <v>346</v>
      </c>
      <c r="C132" s="29" t="s">
        <v>413</v>
      </c>
      <c r="D132" s="29" t="s">
        <v>471</v>
      </c>
      <c r="E132" s="29" t="s">
        <v>480</v>
      </c>
      <c r="F132" s="19" t="s">
        <v>56</v>
      </c>
      <c r="G132" s="9" t="str">
        <f t="shared" si="3"/>
        <v>MY / 내 정보 / 투자자 자격 신청 / 개인정보 동의</v>
      </c>
      <c r="H132" s="18" t="s">
        <v>57</v>
      </c>
      <c r="I132" s="18">
        <f>COUNTIFS('기능정의 상세'!$A$4:$A$1200,A132,'기능정의 상세'!$K$4:$K$1200,"&lt;&gt;삭제")</f>
        <v>5</v>
      </c>
      <c r="J132" s="18" t="s">
        <v>63</v>
      </c>
      <c r="K132" s="30" t="s">
        <v>11</v>
      </c>
      <c r="L132" s="9" t="s">
        <v>481</v>
      </c>
      <c r="M132" s="9" t="s">
        <v>482</v>
      </c>
      <c r="N132" s="9"/>
      <c r="O132" s="9" t="s">
        <v>59</v>
      </c>
    </row>
    <row r="133" spans="1:15">
      <c r="A133" s="18" t="s">
        <v>483</v>
      </c>
      <c r="B133" s="19" t="s">
        <v>346</v>
      </c>
      <c r="C133" s="19" t="s">
        <v>484</v>
      </c>
      <c r="D133" s="19" t="s">
        <v>485</v>
      </c>
      <c r="E133" s="19" t="s">
        <v>55</v>
      </c>
      <c r="F133" s="19" t="s">
        <v>94</v>
      </c>
      <c r="G133" s="9" t="str">
        <f t="shared" ref="G133:G156" si="4">B133&amp;IF(OR(C133="",C133="—"),"", " / "&amp;C133)&amp;IF(OR(D133="",D133="—"),"", " / "&amp;D133)&amp;IF(OR(E133="",E133="—"),"", " / "&amp;E133)</f>
        <v>MY / 설정 / 정보설정</v>
      </c>
      <c r="H133" s="18" t="s">
        <v>57</v>
      </c>
      <c r="I133" s="18">
        <f>COUNTIFS('기능정의 상세'!$A$4:$A$1200,A133,'기능정의 상세'!$K$4:$K$1200,"&lt;&gt;삭제")</f>
        <v>6</v>
      </c>
      <c r="J133" s="18" t="s">
        <v>63</v>
      </c>
      <c r="K133" s="18" t="s">
        <v>17</v>
      </c>
      <c r="L133" s="9"/>
      <c r="M133" s="9"/>
      <c r="N133" s="9" t="s">
        <v>486</v>
      </c>
      <c r="O133" s="9"/>
    </row>
    <row r="134" spans="1:15" ht="25">
      <c r="A134" s="18" t="s">
        <v>487</v>
      </c>
      <c r="B134" s="19" t="s">
        <v>346</v>
      </c>
      <c r="C134" s="19" t="s">
        <v>484</v>
      </c>
      <c r="D134" s="19" t="s">
        <v>488</v>
      </c>
      <c r="E134" s="19" t="s">
        <v>489</v>
      </c>
      <c r="F134" s="19" t="s">
        <v>56</v>
      </c>
      <c r="G134" s="9" t="str">
        <f t="shared" si="4"/>
        <v>MY / 설정 / 회원탈퇴 / 회원 상태</v>
      </c>
      <c r="H134" s="18" t="s">
        <v>57</v>
      </c>
      <c r="I134" s="18">
        <f>COUNTIFS('기능정의 상세'!$A$4:$A$1200,A134,'기능정의 상세'!$K$4:$K$1200,"&lt;&gt;삭제")</f>
        <v>5</v>
      </c>
      <c r="J134" s="18" t="s">
        <v>63</v>
      </c>
      <c r="K134" s="20" t="s">
        <v>9</v>
      </c>
      <c r="L134" s="9"/>
      <c r="M134" s="9" t="s">
        <v>490</v>
      </c>
      <c r="N134" s="9"/>
      <c r="O134" s="9"/>
    </row>
    <row r="135" spans="1:15">
      <c r="A135" s="18" t="s">
        <v>491</v>
      </c>
      <c r="B135" s="19" t="s">
        <v>346</v>
      </c>
      <c r="C135" s="24" t="s">
        <v>484</v>
      </c>
      <c r="D135" s="19" t="s">
        <v>488</v>
      </c>
      <c r="E135" s="19" t="s">
        <v>492</v>
      </c>
      <c r="F135" s="19" t="s">
        <v>56</v>
      </c>
      <c r="G135" s="9" t="str">
        <f t="shared" si="4"/>
        <v>MY / 설정 / 회원탈퇴 / 탈퇴사유</v>
      </c>
      <c r="H135" s="18"/>
      <c r="I135" s="18">
        <f>COUNTIFS('기능정의 상세'!$A$4:$A$1200,A135,'기능정의 상세'!$K$4:$K$1200,"&lt;&gt;삭제")</f>
        <v>3</v>
      </c>
      <c r="J135" s="18" t="s">
        <v>63</v>
      </c>
      <c r="K135" s="25" t="s">
        <v>13</v>
      </c>
      <c r="L135" s="9" t="s">
        <v>493</v>
      </c>
      <c r="M135" s="9" t="s">
        <v>494</v>
      </c>
      <c r="N135" s="9"/>
      <c r="O135" s="9" t="s">
        <v>59</v>
      </c>
    </row>
    <row r="136" spans="1:15" ht="37.5">
      <c r="A136" s="18" t="s">
        <v>495</v>
      </c>
      <c r="B136" s="19" t="s">
        <v>496</v>
      </c>
      <c r="C136" s="19" t="s">
        <v>497</v>
      </c>
      <c r="D136" s="19" t="s">
        <v>55</v>
      </c>
      <c r="E136" s="19" t="s">
        <v>55</v>
      </c>
      <c r="F136" s="19" t="s">
        <v>94</v>
      </c>
      <c r="G136" s="9" t="str">
        <f t="shared" si="4"/>
        <v>더보기 / 목록 (메인)</v>
      </c>
      <c r="H136" s="18" t="s">
        <v>57</v>
      </c>
      <c r="I136" s="18">
        <f>COUNTIFS('기능정의 상세'!$A$4:$A$1200,A136,'기능정의 상세'!$K$4:$K$1200,"&lt;&gt;삭제")</f>
        <v>6</v>
      </c>
      <c r="J136" s="18" t="s">
        <v>63</v>
      </c>
      <c r="K136" s="20" t="s">
        <v>9</v>
      </c>
      <c r="L136" s="9"/>
      <c r="M136" s="9" t="s">
        <v>498</v>
      </c>
      <c r="N136" s="9" t="s">
        <v>499</v>
      </c>
      <c r="O136" s="9"/>
    </row>
    <row r="137" spans="1:15">
      <c r="A137" s="18" t="s">
        <v>500</v>
      </c>
      <c r="B137" s="19" t="s">
        <v>496</v>
      </c>
      <c r="C137" s="19" t="s">
        <v>501</v>
      </c>
      <c r="D137" s="19" t="s">
        <v>94</v>
      </c>
      <c r="E137" s="19" t="s">
        <v>55</v>
      </c>
      <c r="F137" s="19" t="s">
        <v>94</v>
      </c>
      <c r="G137" s="9" t="str">
        <f t="shared" si="4"/>
        <v>더보기 / 공지사항 / 목록</v>
      </c>
      <c r="H137" s="18" t="s">
        <v>57</v>
      </c>
      <c r="I137" s="18">
        <f>COUNTIFS('기능정의 상세'!$A$4:$A$1200,A137,'기능정의 상세'!$K$4:$K$1200,"&lt;&gt;삭제")</f>
        <v>6</v>
      </c>
      <c r="J137" s="18" t="s">
        <v>63</v>
      </c>
      <c r="K137" s="20" t="s">
        <v>9</v>
      </c>
      <c r="L137" s="9"/>
      <c r="M137" s="9" t="s">
        <v>502</v>
      </c>
      <c r="N137" s="9" t="s">
        <v>503</v>
      </c>
      <c r="O137" s="9"/>
    </row>
    <row r="138" spans="1:15">
      <c r="A138" s="18" t="s">
        <v>504</v>
      </c>
      <c r="B138" s="19" t="s">
        <v>496</v>
      </c>
      <c r="C138" s="19" t="s">
        <v>501</v>
      </c>
      <c r="D138" s="19" t="s">
        <v>505</v>
      </c>
      <c r="E138" s="19" t="s">
        <v>55</v>
      </c>
      <c r="F138" s="19" t="s">
        <v>56</v>
      </c>
      <c r="G138" s="9" t="str">
        <f t="shared" si="4"/>
        <v>더보기 / 공지사항 / 공지사항 상세</v>
      </c>
      <c r="H138" s="18"/>
      <c r="I138" s="18">
        <f>COUNTIFS('기능정의 상세'!$A$4:$A$1200,A138,'기능정의 상세'!$K$4:$K$1200,"&lt;&gt;삭제")</f>
        <v>6</v>
      </c>
      <c r="J138" s="18" t="s">
        <v>63</v>
      </c>
      <c r="K138" s="18" t="s">
        <v>17</v>
      </c>
      <c r="L138" s="9"/>
      <c r="M138" s="9"/>
      <c r="N138" s="9" t="s">
        <v>506</v>
      </c>
      <c r="O138" s="9"/>
    </row>
    <row r="139" spans="1:15">
      <c r="A139" s="18" t="s">
        <v>507</v>
      </c>
      <c r="B139" s="19" t="s">
        <v>496</v>
      </c>
      <c r="C139" s="19" t="s">
        <v>508</v>
      </c>
      <c r="D139" s="19" t="s">
        <v>94</v>
      </c>
      <c r="E139" s="19" t="s">
        <v>55</v>
      </c>
      <c r="F139" s="19" t="s">
        <v>94</v>
      </c>
      <c r="G139" s="9" t="str">
        <f t="shared" si="4"/>
        <v>더보기 / 이벤트 / 목록</v>
      </c>
      <c r="H139" s="18" t="s">
        <v>57</v>
      </c>
      <c r="I139" s="18">
        <f>COUNTIFS('기능정의 상세'!$A$4:$A$1200,A139,'기능정의 상세'!$K$4:$K$1200,"&lt;&gt;삭제")</f>
        <v>4</v>
      </c>
      <c r="J139" s="18" t="s">
        <v>63</v>
      </c>
      <c r="K139" s="18" t="s">
        <v>17</v>
      </c>
      <c r="L139" s="9"/>
      <c r="M139" s="9"/>
      <c r="N139" s="9"/>
      <c r="O139" s="9"/>
    </row>
    <row r="140" spans="1:15">
      <c r="A140" s="18" t="s">
        <v>509</v>
      </c>
      <c r="B140" s="19" t="s">
        <v>496</v>
      </c>
      <c r="C140" s="19" t="s">
        <v>508</v>
      </c>
      <c r="D140" s="19" t="s">
        <v>510</v>
      </c>
      <c r="E140" s="19" t="s">
        <v>55</v>
      </c>
      <c r="F140" s="19" t="s">
        <v>94</v>
      </c>
      <c r="G140" s="9" t="str">
        <f t="shared" si="4"/>
        <v>더보기 / 이벤트 / 이벤트상세</v>
      </c>
      <c r="H140" s="18"/>
      <c r="I140" s="18">
        <f>COUNTIFS('기능정의 상세'!$A$4:$A$1200,A140,'기능정의 상세'!$K$4:$K$1200,"&lt;&gt;삭제")</f>
        <v>5</v>
      </c>
      <c r="J140" s="18" t="s">
        <v>63</v>
      </c>
      <c r="K140" s="18" t="s">
        <v>17</v>
      </c>
      <c r="L140" s="9"/>
      <c r="M140" s="9"/>
      <c r="N140" s="9"/>
      <c r="O140" s="9"/>
    </row>
    <row r="141" spans="1:15" ht="50">
      <c r="A141" s="18" t="s">
        <v>511</v>
      </c>
      <c r="B141" s="19" t="s">
        <v>496</v>
      </c>
      <c r="C141" s="19" t="s">
        <v>512</v>
      </c>
      <c r="D141" s="19" t="s">
        <v>55</v>
      </c>
      <c r="E141" s="19" t="s">
        <v>55</v>
      </c>
      <c r="F141" s="19" t="s">
        <v>56</v>
      </c>
      <c r="G141" s="9" t="str">
        <f t="shared" si="4"/>
        <v>더보기 / 이용안내</v>
      </c>
      <c r="H141" s="18" t="s">
        <v>57</v>
      </c>
      <c r="I141" s="18">
        <f>COUNTIFS('기능정의 상세'!$A$4:$A$1200,A141,'기능정의 상세'!$K$4:$K$1200,"&lt;&gt;삭제")</f>
        <v>4</v>
      </c>
      <c r="J141" s="18" t="s">
        <v>63</v>
      </c>
      <c r="K141" s="18" t="s">
        <v>17</v>
      </c>
      <c r="L141" s="9"/>
      <c r="M141" s="9"/>
      <c r="N141" s="9" t="s">
        <v>513</v>
      </c>
      <c r="O141" s="9" t="s">
        <v>514</v>
      </c>
    </row>
    <row r="142" spans="1:15">
      <c r="A142" s="18" t="s">
        <v>515</v>
      </c>
      <c r="B142" s="19" t="s">
        <v>496</v>
      </c>
      <c r="C142" s="19" t="s">
        <v>516</v>
      </c>
      <c r="D142" s="19" t="s">
        <v>94</v>
      </c>
      <c r="E142" s="19" t="s">
        <v>55</v>
      </c>
      <c r="F142" s="19" t="s">
        <v>94</v>
      </c>
      <c r="G142" s="9" t="str">
        <f t="shared" si="4"/>
        <v>더보기 / 고객센터 / 목록</v>
      </c>
      <c r="H142" s="18" t="s">
        <v>57</v>
      </c>
      <c r="I142" s="18">
        <f>COUNTIFS('기능정의 상세'!$A$4:$A$1200,A142,'기능정의 상세'!$K$4:$K$1200,"&lt;&gt;삭제")</f>
        <v>3</v>
      </c>
      <c r="J142" s="18" t="s">
        <v>63</v>
      </c>
      <c r="K142" s="18" t="s">
        <v>17</v>
      </c>
      <c r="L142" s="9"/>
      <c r="M142" s="9"/>
      <c r="N142" s="9"/>
      <c r="O142" s="9"/>
    </row>
    <row r="143" spans="1:15">
      <c r="A143" s="18" t="s">
        <v>517</v>
      </c>
      <c r="B143" s="19" t="s">
        <v>496</v>
      </c>
      <c r="C143" s="19" t="s">
        <v>516</v>
      </c>
      <c r="D143" s="19" t="s">
        <v>518</v>
      </c>
      <c r="E143" s="19" t="s">
        <v>55</v>
      </c>
      <c r="F143" s="19" t="s">
        <v>94</v>
      </c>
      <c r="G143" s="9" t="str">
        <f t="shared" si="4"/>
        <v>더보기 / 고객센터 / FAQ</v>
      </c>
      <c r="H143" s="18" t="s">
        <v>57</v>
      </c>
      <c r="I143" s="18">
        <f>COUNTIFS('기능정의 상세'!$A$4:$A$1200,A143,'기능정의 상세'!$K$4:$K$1200,"&lt;&gt;삭제")</f>
        <v>5</v>
      </c>
      <c r="J143" s="18" t="s">
        <v>63</v>
      </c>
      <c r="K143" s="18" t="s">
        <v>17</v>
      </c>
      <c r="L143" s="9"/>
      <c r="M143" s="9"/>
      <c r="N143" s="9"/>
      <c r="O143" s="9"/>
    </row>
    <row r="144" spans="1:15" ht="25">
      <c r="A144" s="18" t="s">
        <v>519</v>
      </c>
      <c r="B144" s="19" t="s">
        <v>496</v>
      </c>
      <c r="C144" s="19" t="s">
        <v>516</v>
      </c>
      <c r="D144" s="19" t="s">
        <v>520</v>
      </c>
      <c r="E144" s="19" t="s">
        <v>521</v>
      </c>
      <c r="F144" s="19" t="s">
        <v>335</v>
      </c>
      <c r="G144" s="9" t="str">
        <f t="shared" si="4"/>
        <v>더보기 / 고객센터 / 1:1 문의 / 내 문의내역</v>
      </c>
      <c r="H144" s="18"/>
      <c r="I144" s="18">
        <f>COUNTIFS('기능정의 상세'!$A$4:$A$1200,A144,'기능정의 상세'!$K$4:$K$1200,"&lt;&gt;삭제")</f>
        <v>5</v>
      </c>
      <c r="J144" s="18" t="s">
        <v>63</v>
      </c>
      <c r="K144" s="20" t="s">
        <v>9</v>
      </c>
      <c r="L144" s="9"/>
      <c r="M144" s="9" t="s">
        <v>522</v>
      </c>
      <c r="N144" s="9" t="s">
        <v>523</v>
      </c>
      <c r="O144" s="9"/>
    </row>
    <row r="145" spans="1:15">
      <c r="A145" s="18" t="s">
        <v>524</v>
      </c>
      <c r="B145" s="19" t="s">
        <v>496</v>
      </c>
      <c r="C145" s="19" t="s">
        <v>516</v>
      </c>
      <c r="D145" s="19" t="s">
        <v>525</v>
      </c>
      <c r="E145" s="19" t="s">
        <v>55</v>
      </c>
      <c r="F145" s="21" t="s">
        <v>128</v>
      </c>
      <c r="G145" s="9" t="str">
        <f t="shared" si="4"/>
        <v>더보기 / 고객센터 / 1:1 문의_팝업</v>
      </c>
      <c r="H145" s="18"/>
      <c r="I145" s="18">
        <f>COUNTIFS('기능정의 상세'!$A$4:$A$1200,A145,'기능정의 상세'!$K$4:$K$1200,"&lt;&gt;삭제")</f>
        <v>5</v>
      </c>
      <c r="J145" s="18" t="s">
        <v>63</v>
      </c>
      <c r="K145" s="20" t="s">
        <v>9</v>
      </c>
      <c r="L145" s="9" t="s">
        <v>526</v>
      </c>
      <c r="M145" s="9" t="s">
        <v>527</v>
      </c>
      <c r="N145" s="9"/>
      <c r="O145" s="9" t="s">
        <v>59</v>
      </c>
    </row>
    <row r="146" spans="1:15" ht="25">
      <c r="A146" s="18" t="s">
        <v>528</v>
      </c>
      <c r="B146" s="19" t="s">
        <v>496</v>
      </c>
      <c r="C146" s="19" t="s">
        <v>529</v>
      </c>
      <c r="D146" s="19" t="s">
        <v>55</v>
      </c>
      <c r="E146" s="19" t="s">
        <v>55</v>
      </c>
      <c r="F146" s="19" t="s">
        <v>56</v>
      </c>
      <c r="G146" s="9" t="str">
        <f t="shared" si="4"/>
        <v>더보기 / 투자자 유의사항</v>
      </c>
      <c r="H146" s="18" t="s">
        <v>57</v>
      </c>
      <c r="I146" s="18">
        <f>COUNTIFS('기능정의 상세'!$A$4:$A$1200,A146,'기능정의 상세'!$K$4:$K$1200,"&lt;&gt;삭제")</f>
        <v>4</v>
      </c>
      <c r="J146" s="18" t="s">
        <v>63</v>
      </c>
      <c r="K146" s="20" t="s">
        <v>9</v>
      </c>
      <c r="L146" s="9"/>
      <c r="M146" s="9" t="s">
        <v>530</v>
      </c>
      <c r="N146" s="9" t="s">
        <v>531</v>
      </c>
      <c r="O146" s="9"/>
    </row>
    <row r="147" spans="1:15" ht="25">
      <c r="A147" s="18" t="s">
        <v>532</v>
      </c>
      <c r="B147" s="19" t="s">
        <v>496</v>
      </c>
      <c r="C147" s="21" t="s">
        <v>533</v>
      </c>
      <c r="D147" s="19" t="s">
        <v>94</v>
      </c>
      <c r="E147" s="19" t="s">
        <v>55</v>
      </c>
      <c r="F147" s="19" t="s">
        <v>94</v>
      </c>
      <c r="G147" s="9" t="str">
        <f t="shared" si="4"/>
        <v>더보기 / 약관 및 정책 / 목록</v>
      </c>
      <c r="H147" s="18" t="s">
        <v>57</v>
      </c>
      <c r="I147" s="18">
        <f>COUNTIFS('기능정의 상세'!$A$4:$A$1200,A147,'기능정의 상세'!$K$4:$K$1200,"&lt;&gt;삭제")</f>
        <v>6</v>
      </c>
      <c r="J147" s="18" t="s">
        <v>63</v>
      </c>
      <c r="K147" s="20" t="s">
        <v>9</v>
      </c>
      <c r="L147" s="9" t="s">
        <v>534</v>
      </c>
      <c r="M147" s="9" t="s">
        <v>535</v>
      </c>
      <c r="N147" s="9"/>
      <c r="O147" s="9"/>
    </row>
    <row r="148" spans="1:15">
      <c r="A148" s="18" t="s">
        <v>536</v>
      </c>
      <c r="B148" s="19" t="s">
        <v>496</v>
      </c>
      <c r="C148" s="24" t="s">
        <v>533</v>
      </c>
      <c r="D148" s="24" t="s">
        <v>537</v>
      </c>
      <c r="E148" s="24" t="s">
        <v>55</v>
      </c>
      <c r="F148" s="19" t="s">
        <v>56</v>
      </c>
      <c r="G148" s="9" t="str">
        <f t="shared" si="4"/>
        <v>더보기 / 약관 및 정책 / 서비스 이용약관</v>
      </c>
      <c r="H148" s="18"/>
      <c r="I148" s="18">
        <f>COUNTIFS('기능정의 상세'!$A$4:$A$1200,A148,'기능정의 상세'!$K$4:$K$1200,"&lt;&gt;삭제")</f>
        <v>4</v>
      </c>
      <c r="J148" s="18" t="s">
        <v>63</v>
      </c>
      <c r="K148" s="25" t="s">
        <v>13</v>
      </c>
      <c r="L148" s="9" t="s">
        <v>538</v>
      </c>
      <c r="M148" s="9" t="s">
        <v>539</v>
      </c>
      <c r="N148" s="9"/>
      <c r="O148" s="9"/>
    </row>
    <row r="149" spans="1:15">
      <c r="A149" s="18" t="s">
        <v>540</v>
      </c>
      <c r="B149" s="19" t="s">
        <v>496</v>
      </c>
      <c r="C149" s="24" t="s">
        <v>533</v>
      </c>
      <c r="D149" s="24" t="s">
        <v>541</v>
      </c>
      <c r="E149" s="24" t="s">
        <v>55</v>
      </c>
      <c r="F149" s="19" t="s">
        <v>56</v>
      </c>
      <c r="G149" s="9" t="str">
        <f t="shared" si="4"/>
        <v>더보기 / 약관 및 정책 / 개인정보 처리방침</v>
      </c>
      <c r="H149" s="18"/>
      <c r="I149" s="18">
        <f>COUNTIFS('기능정의 상세'!$A$4:$A$1200,A149,'기능정의 상세'!$K$4:$K$1200,"&lt;&gt;삭제")</f>
        <v>4</v>
      </c>
      <c r="J149" s="18" t="s">
        <v>63</v>
      </c>
      <c r="K149" s="25" t="s">
        <v>13</v>
      </c>
      <c r="L149" s="9" t="s">
        <v>542</v>
      </c>
      <c r="M149" s="9" t="s">
        <v>539</v>
      </c>
      <c r="N149" s="9"/>
      <c r="O149" s="9"/>
    </row>
    <row r="150" spans="1:15" ht="25">
      <c r="A150" s="18" t="s">
        <v>543</v>
      </c>
      <c r="B150" s="19" t="s">
        <v>496</v>
      </c>
      <c r="C150" s="24" t="s">
        <v>533</v>
      </c>
      <c r="D150" s="24" t="s">
        <v>544</v>
      </c>
      <c r="E150" s="24" t="s">
        <v>55</v>
      </c>
      <c r="F150" s="19" t="s">
        <v>56</v>
      </c>
      <c r="G150" s="9" t="str">
        <f t="shared" si="4"/>
        <v>더보기 / 약관 및 정책 / 위치기반서비스 이용약관</v>
      </c>
      <c r="H150" s="18"/>
      <c r="I150" s="18">
        <f>COUNTIFS('기능정의 상세'!$A$4:$A$1200,A150,'기능정의 상세'!$K$4:$K$1200,"&lt;&gt;삭제")</f>
        <v>4</v>
      </c>
      <c r="J150" s="18" t="s">
        <v>63</v>
      </c>
      <c r="K150" s="25" t="s">
        <v>13</v>
      </c>
      <c r="L150" s="9" t="s">
        <v>545</v>
      </c>
      <c r="M150" s="9" t="s">
        <v>539</v>
      </c>
      <c r="N150" s="9"/>
      <c r="O150" s="9"/>
    </row>
    <row r="151" spans="1:15">
      <c r="A151" s="18" t="s">
        <v>546</v>
      </c>
      <c r="B151" s="19" t="s">
        <v>496</v>
      </c>
      <c r="C151" s="24" t="s">
        <v>533</v>
      </c>
      <c r="D151" s="24" t="s">
        <v>547</v>
      </c>
      <c r="E151" s="24" t="s">
        <v>55</v>
      </c>
      <c r="F151" s="19" t="s">
        <v>56</v>
      </c>
      <c r="G151" s="9" t="str">
        <f t="shared" si="4"/>
        <v>더보기 / 약관 및 정책 / 커뮤니티 운영정책</v>
      </c>
      <c r="H151" s="18"/>
      <c r="I151" s="18">
        <f>COUNTIFS('기능정의 상세'!$A$4:$A$1200,A151,'기능정의 상세'!$K$4:$K$1200,"&lt;&gt;삭제")</f>
        <v>4</v>
      </c>
      <c r="J151" s="18" t="s">
        <v>63</v>
      </c>
      <c r="K151" s="25" t="s">
        <v>13</v>
      </c>
      <c r="L151" s="9" t="s">
        <v>548</v>
      </c>
      <c r="M151" s="9" t="s">
        <v>539</v>
      </c>
      <c r="N151" s="9"/>
      <c r="O151" s="9"/>
    </row>
    <row r="152" spans="1:15">
      <c r="A152" s="18" t="s">
        <v>549</v>
      </c>
      <c r="B152" s="19" t="s">
        <v>496</v>
      </c>
      <c r="C152" s="19" t="s">
        <v>550</v>
      </c>
      <c r="D152" s="19" t="s">
        <v>55</v>
      </c>
      <c r="E152" s="19" t="s">
        <v>55</v>
      </c>
      <c r="F152" s="19" t="s">
        <v>56</v>
      </c>
      <c r="G152" s="9" t="str">
        <f t="shared" si="4"/>
        <v>더보기 / 회사소개</v>
      </c>
      <c r="H152" s="18"/>
      <c r="I152" s="18">
        <f>COUNTIFS('기능정의 상세'!$A$4:$A$1200,A152,'기능정의 상세'!$K$4:$K$1200,"&lt;&gt;삭제")</f>
        <v>3</v>
      </c>
      <c r="J152" s="18" t="s">
        <v>63</v>
      </c>
      <c r="K152" s="18" t="s">
        <v>17</v>
      </c>
      <c r="L152" s="9"/>
      <c r="M152" s="9"/>
      <c r="N152" s="9"/>
      <c r="O152" s="9"/>
    </row>
    <row r="153" spans="1:15">
      <c r="A153" s="18" t="s">
        <v>551</v>
      </c>
      <c r="B153" s="19" t="s">
        <v>552</v>
      </c>
      <c r="C153" s="19" t="s">
        <v>553</v>
      </c>
      <c r="D153" s="19" t="s">
        <v>55</v>
      </c>
      <c r="E153" s="19" t="s">
        <v>55</v>
      </c>
      <c r="F153" s="19" t="s">
        <v>94</v>
      </c>
      <c r="G153" s="9" t="str">
        <f t="shared" si="4"/>
        <v>알림 / 전체</v>
      </c>
      <c r="H153" s="18" t="s">
        <v>57</v>
      </c>
      <c r="I153" s="18">
        <f>COUNTIFS('기능정의 상세'!$A$4:$A$1200,A153,'기능정의 상세'!$K$4:$K$1200,"&lt;&gt;삭제")</f>
        <v>5</v>
      </c>
      <c r="J153" s="18" t="s">
        <v>63</v>
      </c>
      <c r="K153" s="20" t="s">
        <v>9</v>
      </c>
      <c r="L153" s="9"/>
      <c r="M153" s="9" t="s">
        <v>554</v>
      </c>
      <c r="N153" s="9"/>
      <c r="O153" s="9"/>
    </row>
    <row r="154" spans="1:15">
      <c r="A154" s="18" t="s">
        <v>555</v>
      </c>
      <c r="B154" s="19" t="s">
        <v>552</v>
      </c>
      <c r="C154" s="19" t="s">
        <v>556</v>
      </c>
      <c r="D154" s="19" t="s">
        <v>55</v>
      </c>
      <c r="E154" s="19" t="s">
        <v>55</v>
      </c>
      <c r="F154" s="19" t="s">
        <v>94</v>
      </c>
      <c r="G154" s="9" t="str">
        <f t="shared" si="4"/>
        <v>알림 / 거래·자산</v>
      </c>
      <c r="H154" s="18" t="s">
        <v>57</v>
      </c>
      <c r="I154" s="18">
        <f>COUNTIFS('기능정의 상세'!$A$4:$A$1200,A154,'기능정의 상세'!$K$4:$K$1200,"&lt;&gt;삭제")</f>
        <v>5</v>
      </c>
      <c r="J154" s="18" t="s">
        <v>63</v>
      </c>
      <c r="K154" s="20" t="s">
        <v>9</v>
      </c>
      <c r="L154" s="9"/>
      <c r="M154" s="9" t="s">
        <v>554</v>
      </c>
      <c r="N154" s="9"/>
      <c r="O154" s="9"/>
    </row>
    <row r="155" spans="1:15" ht="25">
      <c r="A155" s="18" t="s">
        <v>557</v>
      </c>
      <c r="B155" s="22" t="s">
        <v>558</v>
      </c>
      <c r="C155" s="22" t="s">
        <v>559</v>
      </c>
      <c r="D155" s="22" t="s">
        <v>55</v>
      </c>
      <c r="E155" s="22" t="s">
        <v>55</v>
      </c>
      <c r="F155" s="22" t="s">
        <v>94</v>
      </c>
      <c r="G155" s="9" t="str">
        <f t="shared" si="4"/>
        <v>검색 / 검색 홈</v>
      </c>
      <c r="H155" s="18"/>
      <c r="I155" s="18">
        <f>COUNTIFS('기능정의 상세'!$A$4:$A$1200,A155,'기능정의 상세'!$K$4:$K$1200,"&lt;&gt;삭제")</f>
        <v>4</v>
      </c>
      <c r="J155" s="18" t="s">
        <v>63</v>
      </c>
      <c r="K155" s="23" t="s">
        <v>7</v>
      </c>
      <c r="L155" s="9"/>
      <c r="M155" s="9" t="s">
        <v>560</v>
      </c>
      <c r="N155" s="9" t="s">
        <v>561</v>
      </c>
      <c r="O155" s="9" t="s">
        <v>562</v>
      </c>
    </row>
    <row r="156" spans="1:15">
      <c r="A156" s="18" t="s">
        <v>563</v>
      </c>
      <c r="B156" s="22" t="s">
        <v>558</v>
      </c>
      <c r="C156" s="22" t="s">
        <v>564</v>
      </c>
      <c r="D156" s="22" t="s">
        <v>55</v>
      </c>
      <c r="E156" s="22" t="s">
        <v>55</v>
      </c>
      <c r="F156" s="22" t="s">
        <v>103</v>
      </c>
      <c r="G156" s="9" t="str">
        <f t="shared" si="4"/>
        <v>검색 / 검색 결과</v>
      </c>
      <c r="H156" s="18"/>
      <c r="I156" s="18">
        <f>COUNTIFS('기능정의 상세'!$A$4:$A$1200,A156,'기능정의 상세'!$K$4:$K$1200,"&lt;&gt;삭제")</f>
        <v>4</v>
      </c>
      <c r="J156" s="18" t="s">
        <v>63</v>
      </c>
      <c r="K156" s="23" t="s">
        <v>7</v>
      </c>
      <c r="L156" s="9"/>
      <c r="M156" s="9" t="s">
        <v>565</v>
      </c>
      <c r="N156" s="9" t="s">
        <v>566</v>
      </c>
      <c r="O156" s="9" t="s">
        <v>567</v>
      </c>
    </row>
  </sheetData>
  <autoFilter ref="A4:O156" xr:uid="{00000000-0009-0000-0000-000001000000}"/>
  <mergeCells count="2">
    <mergeCell ref="A1:O1"/>
    <mergeCell ref="A2:O2"/>
  </mergeCells>
  <phoneticPr fontId="8" type="noConversion"/>
  <conditionalFormatting sqref="K5:K156">
    <cfRule type="expression" dxfId="9" priority="2">
      <formula>$K5="신규"</formula>
    </cfRule>
    <cfRule type="expression" dxfId="8" priority="3">
      <formula>$K5="수정"</formula>
    </cfRule>
    <cfRule type="expression" dxfId="7" priority="4">
      <formula>$K5="이동"</formula>
    </cfRule>
    <cfRule type="expression" dxfId="6" priority="5">
      <formula>$K5="명칭변경"</formula>
    </cfRule>
    <cfRule type="expression" dxfId="5" priority="6">
      <formula>$K5="삭제"</formula>
    </cfRule>
  </conditionalFormatting>
  <dataValidations count="1">
    <dataValidation type="list" sqref="K5:K156" xr:uid="{00000000-0002-0000-0100-000000000000}">
      <formula1>"유지,수정,이동,명칭변경,삭제,신규"</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M714"/>
  <sheetViews>
    <sheetView zoomScaleNormal="100" workbookViewId="0">
      <pane xSplit="1" ySplit="3" topLeftCell="B541" activePane="bottomRight" state="frozen"/>
      <selection pane="topRight" activeCell="B1" sqref="B1"/>
      <selection pane="bottomLeft" activeCell="A4" sqref="A4"/>
      <selection pane="bottomRight" activeCell="H546" activeCellId="3" sqref="A1:M3 A1:M3 A1:M3 A1:M714"/>
    </sheetView>
  </sheetViews>
  <sheetFormatPr defaultColWidth="8.6328125" defaultRowHeight="14.5"/>
  <cols>
    <col min="1" max="1" width="8" customWidth="1"/>
    <col min="2" max="2" width="11" customWidth="1"/>
    <col min="3" max="3" width="14" customWidth="1"/>
    <col min="4" max="4" width="15" customWidth="1"/>
    <col min="5" max="5" width="16" customWidth="1"/>
    <col min="6" max="6" width="44" customWidth="1"/>
    <col min="7" max="7" width="7" customWidth="1"/>
    <col min="8" max="8" width="26" customWidth="1"/>
    <col min="9" max="9" width="62" customWidth="1"/>
    <col min="10" max="10" width="34" customWidth="1"/>
    <col min="11" max="11" width="10" customWidth="1"/>
    <col min="12" max="12" width="40" customWidth="1"/>
    <col min="13" max="13" width="50" customWidth="1"/>
  </cols>
  <sheetData>
    <row r="1" spans="1:13" ht="18">
      <c r="A1" s="6" t="s">
        <v>568</v>
      </c>
      <c r="B1" s="6"/>
      <c r="C1" s="6"/>
      <c r="D1" s="6"/>
      <c r="E1" s="6"/>
      <c r="F1" s="6"/>
      <c r="G1" s="6"/>
      <c r="H1" s="6"/>
      <c r="I1" s="6"/>
      <c r="J1" s="6"/>
      <c r="K1" s="6"/>
      <c r="L1" s="6"/>
      <c r="M1" s="6"/>
    </row>
    <row r="2" spans="1:13">
      <c r="A2" s="5" t="s">
        <v>569</v>
      </c>
      <c r="B2" s="5"/>
      <c r="C2" s="5"/>
      <c r="D2" s="5"/>
      <c r="E2" s="5"/>
      <c r="F2" s="5"/>
      <c r="G2" s="5"/>
      <c r="H2" s="5"/>
      <c r="I2" s="5"/>
      <c r="J2" s="5"/>
      <c r="K2" s="5"/>
      <c r="L2" s="5"/>
      <c r="M2" s="5"/>
    </row>
    <row r="3" spans="1:13" ht="30" customHeight="1">
      <c r="A3" s="7" t="s">
        <v>39</v>
      </c>
      <c r="B3" s="17" t="s">
        <v>40</v>
      </c>
      <c r="C3" s="17" t="s">
        <v>41</v>
      </c>
      <c r="D3" s="17" t="s">
        <v>42</v>
      </c>
      <c r="E3" s="17" t="s">
        <v>43</v>
      </c>
      <c r="F3" s="17" t="s">
        <v>45</v>
      </c>
      <c r="G3" s="7" t="s">
        <v>570</v>
      </c>
      <c r="H3" s="7" t="s">
        <v>571</v>
      </c>
      <c r="I3" s="7" t="s">
        <v>572</v>
      </c>
      <c r="J3" s="7" t="s">
        <v>573</v>
      </c>
      <c r="K3" s="7" t="s">
        <v>2</v>
      </c>
      <c r="L3" s="7" t="s">
        <v>50</v>
      </c>
      <c r="M3" s="7" t="s">
        <v>574</v>
      </c>
    </row>
    <row r="4" spans="1:13" ht="50" hidden="1">
      <c r="A4" s="18" t="s">
        <v>53</v>
      </c>
      <c r="B4" s="19" t="str">
        <f>INDEX(메뉴구조!$B$5:$B$300,MATCH($A4,메뉴구조!$A$5:$A$300,0))&amp;""</f>
        <v>스플래시</v>
      </c>
      <c r="C4" s="19" t="str">
        <f>INDEX(메뉴구조!$C$5:$C$300,MATCH($A4,메뉴구조!$A$5:$A$300,0))&amp;""</f>
        <v>—</v>
      </c>
      <c r="D4" s="19" t="str">
        <f>INDEX(메뉴구조!$D$5:$D$300,MATCH($A4,메뉴구조!$A$5:$A$300,0))&amp;""</f>
        <v>—</v>
      </c>
      <c r="E4" s="19" t="str">
        <f>INDEX(메뉴구조!$E$5:$E$300,MATCH($A4,메뉴구조!$A$5:$A$300,0))&amp;""</f>
        <v>—</v>
      </c>
      <c r="F4" s="9" t="str">
        <f>INDEX(메뉴구조!$G$5:$G$300,MATCH($A4,메뉴구조!$A$5:$A$300,0))&amp;""</f>
        <v>스플래시</v>
      </c>
      <c r="G4" s="18">
        <v>1</v>
      </c>
      <c r="H4" s="9" t="s">
        <v>575</v>
      </c>
      <c r="I4" s="9" t="s">
        <v>576</v>
      </c>
      <c r="J4" s="9"/>
      <c r="K4" s="18" t="s">
        <v>17</v>
      </c>
      <c r="L4" s="9"/>
      <c r="M4" s="9"/>
    </row>
    <row r="5" spans="1:13" ht="50" hidden="1">
      <c r="A5" s="18" t="s">
        <v>53</v>
      </c>
      <c r="B5" s="19" t="str">
        <f>INDEX(메뉴구조!$B$5:$B$300,MATCH($A5,메뉴구조!$A$5:$A$300,0))&amp;""</f>
        <v>스플래시</v>
      </c>
      <c r="C5" s="19" t="str">
        <f>INDEX(메뉴구조!$C$5:$C$300,MATCH($A5,메뉴구조!$A$5:$A$300,0))&amp;""</f>
        <v>—</v>
      </c>
      <c r="D5" s="19" t="str">
        <f>INDEX(메뉴구조!$D$5:$D$300,MATCH($A5,메뉴구조!$A$5:$A$300,0))&amp;""</f>
        <v>—</v>
      </c>
      <c r="E5" s="19" t="str">
        <f>INDEX(메뉴구조!$E$5:$E$300,MATCH($A5,메뉴구조!$A$5:$A$300,0))&amp;""</f>
        <v>—</v>
      </c>
      <c r="F5" s="9" t="str">
        <f>INDEX(메뉴구조!$G$5:$G$300,MATCH($A5,메뉴구조!$A$5:$A$300,0))&amp;""</f>
        <v>스플래시</v>
      </c>
      <c r="G5" s="18">
        <v>2</v>
      </c>
      <c r="H5" s="9" t="s">
        <v>577</v>
      </c>
      <c r="I5" s="9" t="s">
        <v>578</v>
      </c>
      <c r="J5" s="9"/>
      <c r="K5" s="18" t="s">
        <v>17</v>
      </c>
      <c r="L5" s="9"/>
      <c r="M5" s="9"/>
    </row>
    <row r="6" spans="1:13" ht="75" hidden="1">
      <c r="A6" s="18" t="s">
        <v>53</v>
      </c>
      <c r="B6" s="19" t="str">
        <f>INDEX(메뉴구조!$B$5:$B$300,MATCH($A6,메뉴구조!$A$5:$A$300,0))&amp;""</f>
        <v>스플래시</v>
      </c>
      <c r="C6" s="19" t="str">
        <f>INDEX(메뉴구조!$C$5:$C$300,MATCH($A6,메뉴구조!$A$5:$A$300,0))&amp;""</f>
        <v>—</v>
      </c>
      <c r="D6" s="19" t="str">
        <f>INDEX(메뉴구조!$D$5:$D$300,MATCH($A6,메뉴구조!$A$5:$A$300,0))&amp;""</f>
        <v>—</v>
      </c>
      <c r="E6" s="19" t="str">
        <f>INDEX(메뉴구조!$E$5:$E$300,MATCH($A6,메뉴구조!$A$5:$A$300,0))&amp;""</f>
        <v>—</v>
      </c>
      <c r="F6" s="9" t="str">
        <f>INDEX(메뉴구조!$G$5:$G$300,MATCH($A6,메뉴구조!$A$5:$A$300,0))&amp;""</f>
        <v>스플래시</v>
      </c>
      <c r="G6" s="18">
        <v>3</v>
      </c>
      <c r="H6" s="9" t="s">
        <v>579</v>
      </c>
      <c r="I6" s="9" t="s">
        <v>580</v>
      </c>
      <c r="J6" s="9"/>
      <c r="K6" s="18" t="s">
        <v>17</v>
      </c>
      <c r="L6" s="9"/>
      <c r="M6" s="9"/>
    </row>
    <row r="7" spans="1:13" ht="62.5" hidden="1">
      <c r="A7" s="18" t="s">
        <v>53</v>
      </c>
      <c r="B7" s="19" t="str">
        <f>INDEX(메뉴구조!$B$5:$B$300,MATCH($A7,메뉴구조!$A$5:$A$300,0))&amp;""</f>
        <v>스플래시</v>
      </c>
      <c r="C7" s="19" t="str">
        <f>INDEX(메뉴구조!$C$5:$C$300,MATCH($A7,메뉴구조!$A$5:$A$300,0))&amp;""</f>
        <v>—</v>
      </c>
      <c r="D7" s="19" t="str">
        <f>INDEX(메뉴구조!$D$5:$D$300,MATCH($A7,메뉴구조!$A$5:$A$300,0))&amp;""</f>
        <v>—</v>
      </c>
      <c r="E7" s="19" t="str">
        <f>INDEX(메뉴구조!$E$5:$E$300,MATCH($A7,메뉴구조!$A$5:$A$300,0))&amp;""</f>
        <v>—</v>
      </c>
      <c r="F7" s="9" t="str">
        <f>INDEX(메뉴구조!$G$5:$G$300,MATCH($A7,메뉴구조!$A$5:$A$300,0))&amp;""</f>
        <v>스플래시</v>
      </c>
      <c r="G7" s="18">
        <v>4</v>
      </c>
      <c r="H7" s="9" t="s">
        <v>581</v>
      </c>
      <c r="I7" s="9" t="s">
        <v>582</v>
      </c>
      <c r="J7" s="9"/>
      <c r="K7" s="18" t="s">
        <v>17</v>
      </c>
      <c r="L7" s="9"/>
      <c r="M7" s="9"/>
    </row>
    <row r="8" spans="1:13" ht="50" hidden="1">
      <c r="A8" s="18" t="s">
        <v>53</v>
      </c>
      <c r="B8" s="19" t="str">
        <f>INDEX(메뉴구조!$B$5:$B$300,MATCH($A8,메뉴구조!$A$5:$A$300,0))&amp;""</f>
        <v>스플래시</v>
      </c>
      <c r="C8" s="19" t="str">
        <f>INDEX(메뉴구조!$C$5:$C$300,MATCH($A8,메뉴구조!$A$5:$A$300,0))&amp;""</f>
        <v>—</v>
      </c>
      <c r="D8" s="19" t="str">
        <f>INDEX(메뉴구조!$D$5:$D$300,MATCH($A8,메뉴구조!$A$5:$A$300,0))&amp;""</f>
        <v>—</v>
      </c>
      <c r="E8" s="19" t="str">
        <f>INDEX(메뉴구조!$E$5:$E$300,MATCH($A8,메뉴구조!$A$5:$A$300,0))&amp;""</f>
        <v>—</v>
      </c>
      <c r="F8" s="9" t="str">
        <f>INDEX(메뉴구조!$G$5:$G$300,MATCH($A8,메뉴구조!$A$5:$A$300,0))&amp;""</f>
        <v>스플래시</v>
      </c>
      <c r="G8" s="18">
        <v>5</v>
      </c>
      <c r="H8" s="9" t="s">
        <v>583</v>
      </c>
      <c r="I8" s="9" t="s">
        <v>584</v>
      </c>
      <c r="J8" s="9"/>
      <c r="K8" s="18" t="s">
        <v>17</v>
      </c>
      <c r="L8" s="9"/>
      <c r="M8" s="9"/>
    </row>
    <row r="9" spans="1:13" ht="62.5" hidden="1">
      <c r="A9" s="18" t="s">
        <v>53</v>
      </c>
      <c r="B9" s="19" t="str">
        <f>INDEX(메뉴구조!$B$5:$B$300,MATCH($A9,메뉴구조!$A$5:$A$300,0))&amp;""</f>
        <v>스플래시</v>
      </c>
      <c r="C9" s="19" t="str">
        <f>INDEX(메뉴구조!$C$5:$C$300,MATCH($A9,메뉴구조!$A$5:$A$300,0))&amp;""</f>
        <v>—</v>
      </c>
      <c r="D9" s="19" t="str">
        <f>INDEX(메뉴구조!$D$5:$D$300,MATCH($A9,메뉴구조!$A$5:$A$300,0))&amp;""</f>
        <v>—</v>
      </c>
      <c r="E9" s="19" t="str">
        <f>INDEX(메뉴구조!$E$5:$E$300,MATCH($A9,메뉴구조!$A$5:$A$300,0))&amp;""</f>
        <v>—</v>
      </c>
      <c r="F9" s="9" t="str">
        <f>INDEX(메뉴구조!$G$5:$G$300,MATCH($A9,메뉴구조!$A$5:$A$300,0))&amp;""</f>
        <v>스플래시</v>
      </c>
      <c r="G9" s="18">
        <v>6</v>
      </c>
      <c r="H9" s="9" t="s">
        <v>585</v>
      </c>
      <c r="I9" s="9" t="s">
        <v>586</v>
      </c>
      <c r="J9" s="9"/>
      <c r="K9" s="18" t="s">
        <v>17</v>
      </c>
      <c r="L9" s="9"/>
      <c r="M9" s="9"/>
    </row>
    <row r="10" spans="1:13" ht="75" hidden="1">
      <c r="A10" s="18" t="s">
        <v>60</v>
      </c>
      <c r="B10" s="19" t="str">
        <f>INDEX(메뉴구조!$B$5:$B$300,MATCH($A10,메뉴구조!$A$5:$A$300,0))&amp;""</f>
        <v>회원가입</v>
      </c>
      <c r="C10" s="19" t="str">
        <f>INDEX(메뉴구조!$C$5:$C$300,MATCH($A10,메뉴구조!$A$5:$A$300,0))&amp;""</f>
        <v>약관동의</v>
      </c>
      <c r="D10" s="19" t="str">
        <f>INDEX(메뉴구조!$D$5:$D$300,MATCH($A10,메뉴구조!$A$5:$A$300,0))&amp;""</f>
        <v>—</v>
      </c>
      <c r="E10" s="19" t="str">
        <f>INDEX(메뉴구조!$E$5:$E$300,MATCH($A10,메뉴구조!$A$5:$A$300,0))&amp;""</f>
        <v>—</v>
      </c>
      <c r="F10" s="9" t="str">
        <f>INDEX(메뉴구조!$G$5:$G$300,MATCH($A10,메뉴구조!$A$5:$A$300,0))&amp;""</f>
        <v>회원가입 / 약관동의</v>
      </c>
      <c r="G10" s="18">
        <v>1</v>
      </c>
      <c r="H10" s="9" t="s">
        <v>587</v>
      </c>
      <c r="I10" s="9" t="s">
        <v>588</v>
      </c>
      <c r="J10" s="9"/>
      <c r="K10" s="18" t="s">
        <v>17</v>
      </c>
      <c r="L10" s="9"/>
      <c r="M10" s="9"/>
    </row>
    <row r="11" spans="1:13" ht="25" hidden="1">
      <c r="A11" s="18" t="s">
        <v>60</v>
      </c>
      <c r="B11" s="19" t="str">
        <f>INDEX(메뉴구조!$B$5:$B$300,MATCH($A11,메뉴구조!$A$5:$A$300,0))&amp;""</f>
        <v>회원가입</v>
      </c>
      <c r="C11" s="19" t="str">
        <f>INDEX(메뉴구조!$C$5:$C$300,MATCH($A11,메뉴구조!$A$5:$A$300,0))&amp;""</f>
        <v>약관동의</v>
      </c>
      <c r="D11" s="19" t="str">
        <f>INDEX(메뉴구조!$D$5:$D$300,MATCH($A11,메뉴구조!$A$5:$A$300,0))&amp;""</f>
        <v>—</v>
      </c>
      <c r="E11" s="19" t="str">
        <f>INDEX(메뉴구조!$E$5:$E$300,MATCH($A11,메뉴구조!$A$5:$A$300,0))&amp;""</f>
        <v>—</v>
      </c>
      <c r="F11" s="9" t="str">
        <f>INDEX(메뉴구조!$G$5:$G$300,MATCH($A11,메뉴구조!$A$5:$A$300,0))&amp;""</f>
        <v>회원가입 / 약관동의</v>
      </c>
      <c r="G11" s="18">
        <v>2</v>
      </c>
      <c r="H11" s="9" t="s">
        <v>589</v>
      </c>
      <c r="I11" s="9" t="s">
        <v>590</v>
      </c>
      <c r="J11" s="9"/>
      <c r="K11" s="18" t="s">
        <v>17</v>
      </c>
      <c r="L11" s="9"/>
      <c r="M11" s="9"/>
    </row>
    <row r="12" spans="1:13" ht="62.5" hidden="1">
      <c r="A12" s="18" t="s">
        <v>60</v>
      </c>
      <c r="B12" s="19" t="str">
        <f>INDEX(메뉴구조!$B$5:$B$300,MATCH($A12,메뉴구조!$A$5:$A$300,0))&amp;""</f>
        <v>회원가입</v>
      </c>
      <c r="C12" s="19" t="str">
        <f>INDEX(메뉴구조!$C$5:$C$300,MATCH($A12,메뉴구조!$A$5:$A$300,0))&amp;""</f>
        <v>약관동의</v>
      </c>
      <c r="D12" s="19" t="str">
        <f>INDEX(메뉴구조!$D$5:$D$300,MATCH($A12,메뉴구조!$A$5:$A$300,0))&amp;""</f>
        <v>—</v>
      </c>
      <c r="E12" s="19" t="str">
        <f>INDEX(메뉴구조!$E$5:$E$300,MATCH($A12,메뉴구조!$A$5:$A$300,0))&amp;""</f>
        <v>—</v>
      </c>
      <c r="F12" s="9" t="str">
        <f>INDEX(메뉴구조!$G$5:$G$300,MATCH($A12,메뉴구조!$A$5:$A$300,0))&amp;""</f>
        <v>회원가입 / 약관동의</v>
      </c>
      <c r="G12" s="18">
        <v>3</v>
      </c>
      <c r="H12" s="9" t="s">
        <v>591</v>
      </c>
      <c r="I12" s="9" t="s">
        <v>592</v>
      </c>
      <c r="J12" s="9" t="s">
        <v>593</v>
      </c>
      <c r="K12" s="18" t="s">
        <v>17</v>
      </c>
      <c r="L12" s="9"/>
      <c r="M12" s="9"/>
    </row>
    <row r="13" spans="1:13" ht="75" hidden="1">
      <c r="A13" s="18" t="s">
        <v>60</v>
      </c>
      <c r="B13" s="19" t="str">
        <f>INDEX(메뉴구조!$B$5:$B$300,MATCH($A13,메뉴구조!$A$5:$A$300,0))&amp;""</f>
        <v>회원가입</v>
      </c>
      <c r="C13" s="19" t="str">
        <f>INDEX(메뉴구조!$C$5:$C$300,MATCH($A13,메뉴구조!$A$5:$A$300,0))&amp;""</f>
        <v>약관동의</v>
      </c>
      <c r="D13" s="19" t="str">
        <f>INDEX(메뉴구조!$D$5:$D$300,MATCH($A13,메뉴구조!$A$5:$A$300,0))&amp;""</f>
        <v>—</v>
      </c>
      <c r="E13" s="19" t="str">
        <f>INDEX(메뉴구조!$E$5:$E$300,MATCH($A13,메뉴구조!$A$5:$A$300,0))&amp;""</f>
        <v>—</v>
      </c>
      <c r="F13" s="9" t="str">
        <f>INDEX(메뉴구조!$G$5:$G$300,MATCH($A13,메뉴구조!$A$5:$A$300,0))&amp;""</f>
        <v>회원가입 / 약관동의</v>
      </c>
      <c r="G13" s="18">
        <v>4</v>
      </c>
      <c r="H13" s="9" t="s">
        <v>594</v>
      </c>
      <c r="I13" s="9" t="s">
        <v>595</v>
      </c>
      <c r="J13" s="9" t="s">
        <v>596</v>
      </c>
      <c r="K13" s="18" t="s">
        <v>17</v>
      </c>
      <c r="L13" s="9"/>
      <c r="M13" s="9"/>
    </row>
    <row r="14" spans="1:13" ht="75" hidden="1">
      <c r="A14" s="18" t="s">
        <v>60</v>
      </c>
      <c r="B14" s="19" t="str">
        <f>INDEX(메뉴구조!$B$5:$B$300,MATCH($A14,메뉴구조!$A$5:$A$300,0))&amp;""</f>
        <v>회원가입</v>
      </c>
      <c r="C14" s="19" t="str">
        <f>INDEX(메뉴구조!$C$5:$C$300,MATCH($A14,메뉴구조!$A$5:$A$300,0))&amp;""</f>
        <v>약관동의</v>
      </c>
      <c r="D14" s="19" t="str">
        <f>INDEX(메뉴구조!$D$5:$D$300,MATCH($A14,메뉴구조!$A$5:$A$300,0))&amp;""</f>
        <v>—</v>
      </c>
      <c r="E14" s="19" t="str">
        <f>INDEX(메뉴구조!$E$5:$E$300,MATCH($A14,메뉴구조!$A$5:$A$300,0))&amp;""</f>
        <v>—</v>
      </c>
      <c r="F14" s="9" t="str">
        <f>INDEX(메뉴구조!$G$5:$G$300,MATCH($A14,메뉴구조!$A$5:$A$300,0))&amp;""</f>
        <v>회원가입 / 약관동의</v>
      </c>
      <c r="G14" s="18">
        <v>5</v>
      </c>
      <c r="H14" s="9" t="s">
        <v>597</v>
      </c>
      <c r="I14" s="9" t="s">
        <v>598</v>
      </c>
      <c r="J14" s="9"/>
      <c r="K14" s="18" t="s">
        <v>17</v>
      </c>
      <c r="L14" s="9"/>
      <c r="M14" s="9"/>
    </row>
    <row r="15" spans="1:13" ht="37.5" hidden="1">
      <c r="A15" s="18" t="s">
        <v>64</v>
      </c>
      <c r="B15" s="19" t="str">
        <f>INDEX(메뉴구조!$B$5:$B$300,MATCH($A15,메뉴구조!$A$5:$A$300,0))&amp;""</f>
        <v>회원가입</v>
      </c>
      <c r="C15" s="19" t="str">
        <f>INDEX(메뉴구조!$C$5:$C$300,MATCH($A15,메뉴구조!$A$5:$A$300,0))&amp;""</f>
        <v>본인인증_정책</v>
      </c>
      <c r="D15" s="19" t="str">
        <f>INDEX(메뉴구조!$D$5:$D$300,MATCH($A15,메뉴구조!$A$5:$A$300,0))&amp;""</f>
        <v>—</v>
      </c>
      <c r="E15" s="19" t="str">
        <f>INDEX(메뉴구조!$E$5:$E$300,MATCH($A15,메뉴구조!$A$5:$A$300,0))&amp;""</f>
        <v>—</v>
      </c>
      <c r="F15" s="9" t="str">
        <f>INDEX(메뉴구조!$G$5:$G$300,MATCH($A15,메뉴구조!$A$5:$A$300,0))&amp;""</f>
        <v>회원가입 / 본인인증_정책</v>
      </c>
      <c r="G15" s="18">
        <v>1</v>
      </c>
      <c r="H15" s="9" t="s">
        <v>599</v>
      </c>
      <c r="I15" s="9" t="s">
        <v>600</v>
      </c>
      <c r="J15" s="9"/>
      <c r="K15" s="18" t="s">
        <v>17</v>
      </c>
      <c r="L15" s="9"/>
      <c r="M15" s="9"/>
    </row>
    <row r="16" spans="1:13" ht="37.5" hidden="1">
      <c r="A16" s="18" t="s">
        <v>64</v>
      </c>
      <c r="B16" s="19" t="str">
        <f>INDEX(메뉴구조!$B$5:$B$300,MATCH($A16,메뉴구조!$A$5:$A$300,0))&amp;""</f>
        <v>회원가입</v>
      </c>
      <c r="C16" s="19" t="str">
        <f>INDEX(메뉴구조!$C$5:$C$300,MATCH($A16,메뉴구조!$A$5:$A$300,0))&amp;""</f>
        <v>본인인증_정책</v>
      </c>
      <c r="D16" s="19" t="str">
        <f>INDEX(메뉴구조!$D$5:$D$300,MATCH($A16,메뉴구조!$A$5:$A$300,0))&amp;""</f>
        <v>—</v>
      </c>
      <c r="E16" s="19" t="str">
        <f>INDEX(메뉴구조!$E$5:$E$300,MATCH($A16,메뉴구조!$A$5:$A$300,0))&amp;""</f>
        <v>—</v>
      </c>
      <c r="F16" s="9" t="str">
        <f>INDEX(메뉴구조!$G$5:$G$300,MATCH($A16,메뉴구조!$A$5:$A$300,0))&amp;""</f>
        <v>회원가입 / 본인인증_정책</v>
      </c>
      <c r="G16" s="18">
        <v>2</v>
      </c>
      <c r="H16" s="9" t="s">
        <v>601</v>
      </c>
      <c r="I16" s="9" t="s">
        <v>602</v>
      </c>
      <c r="J16" s="9"/>
      <c r="K16" s="18" t="s">
        <v>17</v>
      </c>
      <c r="L16" s="9"/>
      <c r="M16" s="9"/>
    </row>
    <row r="17" spans="1:13" ht="62.5" hidden="1">
      <c r="A17" s="18" t="s">
        <v>64</v>
      </c>
      <c r="B17" s="19" t="str">
        <f>INDEX(메뉴구조!$B$5:$B$300,MATCH($A17,메뉴구조!$A$5:$A$300,0))&amp;""</f>
        <v>회원가입</v>
      </c>
      <c r="C17" s="19" t="str">
        <f>INDEX(메뉴구조!$C$5:$C$300,MATCH($A17,메뉴구조!$A$5:$A$300,0))&amp;""</f>
        <v>본인인증_정책</v>
      </c>
      <c r="D17" s="19" t="str">
        <f>INDEX(메뉴구조!$D$5:$D$300,MATCH($A17,메뉴구조!$A$5:$A$300,0))&amp;""</f>
        <v>—</v>
      </c>
      <c r="E17" s="19" t="str">
        <f>INDEX(메뉴구조!$E$5:$E$300,MATCH($A17,메뉴구조!$A$5:$A$300,0))&amp;""</f>
        <v>—</v>
      </c>
      <c r="F17" s="9" t="str">
        <f>INDEX(메뉴구조!$G$5:$G$300,MATCH($A17,메뉴구조!$A$5:$A$300,0))&amp;""</f>
        <v>회원가입 / 본인인증_정책</v>
      </c>
      <c r="G17" s="18">
        <v>3</v>
      </c>
      <c r="H17" s="9" t="s">
        <v>603</v>
      </c>
      <c r="I17" s="9" t="s">
        <v>604</v>
      </c>
      <c r="J17" s="9"/>
      <c r="K17" s="18" t="s">
        <v>17</v>
      </c>
      <c r="L17" s="9"/>
      <c r="M17" s="9"/>
    </row>
    <row r="18" spans="1:13" ht="75" hidden="1">
      <c r="A18" s="18" t="s">
        <v>64</v>
      </c>
      <c r="B18" s="19" t="str">
        <f>INDEX(메뉴구조!$B$5:$B$300,MATCH($A18,메뉴구조!$A$5:$A$300,0))&amp;""</f>
        <v>회원가입</v>
      </c>
      <c r="C18" s="19" t="str">
        <f>INDEX(메뉴구조!$C$5:$C$300,MATCH($A18,메뉴구조!$A$5:$A$300,0))&amp;""</f>
        <v>본인인증_정책</v>
      </c>
      <c r="D18" s="19" t="str">
        <f>INDEX(메뉴구조!$D$5:$D$300,MATCH($A18,메뉴구조!$A$5:$A$300,0))&amp;""</f>
        <v>—</v>
      </c>
      <c r="E18" s="19" t="str">
        <f>INDEX(메뉴구조!$E$5:$E$300,MATCH($A18,메뉴구조!$A$5:$A$300,0))&amp;""</f>
        <v>—</v>
      </c>
      <c r="F18" s="9" t="str">
        <f>INDEX(메뉴구조!$G$5:$G$300,MATCH($A18,메뉴구조!$A$5:$A$300,0))&amp;""</f>
        <v>회원가입 / 본인인증_정책</v>
      </c>
      <c r="G18" s="18">
        <v>4</v>
      </c>
      <c r="H18" s="9" t="s">
        <v>605</v>
      </c>
      <c r="I18" s="9" t="s">
        <v>606</v>
      </c>
      <c r="J18" s="9"/>
      <c r="K18" s="18" t="s">
        <v>17</v>
      </c>
      <c r="L18" s="9"/>
      <c r="M18" s="9"/>
    </row>
    <row r="19" spans="1:13" ht="100" hidden="1">
      <c r="A19" s="18" t="s">
        <v>68</v>
      </c>
      <c r="B19" s="19" t="str">
        <f>INDEX(메뉴구조!$B$5:$B$300,MATCH($A19,메뉴구조!$A$5:$A$300,0))&amp;""</f>
        <v>회원가입</v>
      </c>
      <c r="C19" s="19" t="str">
        <f>INDEX(메뉴구조!$C$5:$C$300,MATCH($A19,메뉴구조!$A$5:$A$300,0))&amp;""</f>
        <v>로그인설정 (생체)</v>
      </c>
      <c r="D19" s="19" t="str">
        <f>INDEX(메뉴구조!$D$5:$D$300,MATCH($A19,메뉴구조!$A$5:$A$300,0))&amp;""</f>
        <v>—</v>
      </c>
      <c r="E19" s="19" t="str">
        <f>INDEX(메뉴구조!$E$5:$E$300,MATCH($A19,메뉴구조!$A$5:$A$300,0))&amp;""</f>
        <v>—</v>
      </c>
      <c r="F19" s="9" t="str">
        <f>INDEX(메뉴구조!$G$5:$G$300,MATCH($A19,메뉴구조!$A$5:$A$300,0))&amp;""</f>
        <v>회원가입 / 로그인설정 (생체)</v>
      </c>
      <c r="G19" s="18">
        <v>1</v>
      </c>
      <c r="H19" s="9" t="s">
        <v>607</v>
      </c>
      <c r="I19" s="9" t="s">
        <v>608</v>
      </c>
      <c r="J19" s="9" t="s">
        <v>609</v>
      </c>
      <c r="K19" s="18" t="s">
        <v>17</v>
      </c>
      <c r="L19" s="9"/>
      <c r="M19" s="9"/>
    </row>
    <row r="20" spans="1:13" ht="50" hidden="1">
      <c r="A20" s="18" t="s">
        <v>68</v>
      </c>
      <c r="B20" s="19" t="str">
        <f>INDEX(메뉴구조!$B$5:$B$300,MATCH($A20,메뉴구조!$A$5:$A$300,0))&amp;""</f>
        <v>회원가입</v>
      </c>
      <c r="C20" s="19" t="str">
        <f>INDEX(메뉴구조!$C$5:$C$300,MATCH($A20,메뉴구조!$A$5:$A$300,0))&amp;""</f>
        <v>로그인설정 (생체)</v>
      </c>
      <c r="D20" s="19" t="str">
        <f>INDEX(메뉴구조!$D$5:$D$300,MATCH($A20,메뉴구조!$A$5:$A$300,0))&amp;""</f>
        <v>—</v>
      </c>
      <c r="E20" s="19" t="str">
        <f>INDEX(메뉴구조!$E$5:$E$300,MATCH($A20,메뉴구조!$A$5:$A$300,0))&amp;""</f>
        <v>—</v>
      </c>
      <c r="F20" s="9" t="str">
        <f>INDEX(메뉴구조!$G$5:$G$300,MATCH($A20,메뉴구조!$A$5:$A$300,0))&amp;""</f>
        <v>회원가입 / 로그인설정 (생체)</v>
      </c>
      <c r="G20" s="18">
        <v>2</v>
      </c>
      <c r="H20" s="9" t="s">
        <v>610</v>
      </c>
      <c r="I20" s="9" t="s">
        <v>611</v>
      </c>
      <c r="J20" s="9"/>
      <c r="K20" s="18" t="s">
        <v>17</v>
      </c>
      <c r="L20" s="9"/>
      <c r="M20" s="9"/>
    </row>
    <row r="21" spans="1:13" ht="100" hidden="1">
      <c r="A21" s="18" t="s">
        <v>68</v>
      </c>
      <c r="B21" s="19" t="str">
        <f>INDEX(메뉴구조!$B$5:$B$300,MATCH($A21,메뉴구조!$A$5:$A$300,0))&amp;""</f>
        <v>회원가입</v>
      </c>
      <c r="C21" s="19" t="str">
        <f>INDEX(메뉴구조!$C$5:$C$300,MATCH($A21,메뉴구조!$A$5:$A$300,0))&amp;""</f>
        <v>로그인설정 (생체)</v>
      </c>
      <c r="D21" s="19" t="str">
        <f>INDEX(메뉴구조!$D$5:$D$300,MATCH($A21,메뉴구조!$A$5:$A$300,0))&amp;""</f>
        <v>—</v>
      </c>
      <c r="E21" s="19" t="str">
        <f>INDEX(메뉴구조!$E$5:$E$300,MATCH($A21,메뉴구조!$A$5:$A$300,0))&amp;""</f>
        <v>—</v>
      </c>
      <c r="F21" s="9" t="str">
        <f>INDEX(메뉴구조!$G$5:$G$300,MATCH($A21,메뉴구조!$A$5:$A$300,0))&amp;""</f>
        <v>회원가입 / 로그인설정 (생체)</v>
      </c>
      <c r="G21" s="18">
        <v>3</v>
      </c>
      <c r="H21" s="9" t="s">
        <v>605</v>
      </c>
      <c r="I21" s="9" t="s">
        <v>612</v>
      </c>
      <c r="J21" s="9"/>
      <c r="K21" s="18" t="s">
        <v>17</v>
      </c>
      <c r="L21" s="9"/>
      <c r="M21" s="9"/>
    </row>
    <row r="22" spans="1:13" ht="50" hidden="1">
      <c r="A22" s="18" t="s">
        <v>68</v>
      </c>
      <c r="B22" s="19" t="str">
        <f>INDEX(메뉴구조!$B$5:$B$300,MATCH($A22,메뉴구조!$A$5:$A$300,0))&amp;""</f>
        <v>회원가입</v>
      </c>
      <c r="C22" s="19" t="str">
        <f>INDEX(메뉴구조!$C$5:$C$300,MATCH($A22,메뉴구조!$A$5:$A$300,0))&amp;""</f>
        <v>로그인설정 (생체)</v>
      </c>
      <c r="D22" s="19" t="str">
        <f>INDEX(메뉴구조!$D$5:$D$300,MATCH($A22,메뉴구조!$A$5:$A$300,0))&amp;""</f>
        <v>—</v>
      </c>
      <c r="E22" s="19" t="str">
        <f>INDEX(메뉴구조!$E$5:$E$300,MATCH($A22,메뉴구조!$A$5:$A$300,0))&amp;""</f>
        <v>—</v>
      </c>
      <c r="F22" s="9" t="str">
        <f>INDEX(메뉴구조!$G$5:$G$300,MATCH($A22,메뉴구조!$A$5:$A$300,0))&amp;""</f>
        <v>회원가입 / 로그인설정 (생체)</v>
      </c>
      <c r="G22" s="18">
        <v>4</v>
      </c>
      <c r="H22" s="9" t="s">
        <v>613</v>
      </c>
      <c r="I22" s="9" t="s">
        <v>614</v>
      </c>
      <c r="J22" s="9"/>
      <c r="K22" s="18" t="s">
        <v>17</v>
      </c>
      <c r="L22" s="9"/>
      <c r="M22" s="9"/>
    </row>
    <row r="23" spans="1:13" ht="62.5" hidden="1">
      <c r="A23" s="18" t="s">
        <v>68</v>
      </c>
      <c r="B23" s="19" t="str">
        <f>INDEX(메뉴구조!$B$5:$B$300,MATCH($A23,메뉴구조!$A$5:$A$300,0))&amp;""</f>
        <v>회원가입</v>
      </c>
      <c r="C23" s="19" t="str">
        <f>INDEX(메뉴구조!$C$5:$C$300,MATCH($A23,메뉴구조!$A$5:$A$300,0))&amp;""</f>
        <v>로그인설정 (생체)</v>
      </c>
      <c r="D23" s="19" t="str">
        <f>INDEX(메뉴구조!$D$5:$D$300,MATCH($A23,메뉴구조!$A$5:$A$300,0))&amp;""</f>
        <v>—</v>
      </c>
      <c r="E23" s="19" t="str">
        <f>INDEX(메뉴구조!$E$5:$E$300,MATCH($A23,메뉴구조!$A$5:$A$300,0))&amp;""</f>
        <v>—</v>
      </c>
      <c r="F23" s="9" t="str">
        <f>INDEX(메뉴구조!$G$5:$G$300,MATCH($A23,메뉴구조!$A$5:$A$300,0))&amp;""</f>
        <v>회원가입 / 로그인설정 (생체)</v>
      </c>
      <c r="G23" s="18">
        <v>5</v>
      </c>
      <c r="H23" s="9" t="s">
        <v>615</v>
      </c>
      <c r="I23" s="9" t="s">
        <v>616</v>
      </c>
      <c r="J23" s="9"/>
      <c r="K23" s="18" t="s">
        <v>17</v>
      </c>
      <c r="L23" s="9"/>
      <c r="M23" s="9"/>
    </row>
    <row r="24" spans="1:13" ht="75" hidden="1">
      <c r="A24" s="18" t="s">
        <v>68</v>
      </c>
      <c r="B24" s="19" t="str">
        <f>INDEX(메뉴구조!$B$5:$B$300,MATCH($A24,메뉴구조!$A$5:$A$300,0))&amp;""</f>
        <v>회원가입</v>
      </c>
      <c r="C24" s="19" t="str">
        <f>INDEX(메뉴구조!$C$5:$C$300,MATCH($A24,메뉴구조!$A$5:$A$300,0))&amp;""</f>
        <v>로그인설정 (생체)</v>
      </c>
      <c r="D24" s="19" t="str">
        <f>INDEX(메뉴구조!$D$5:$D$300,MATCH($A24,메뉴구조!$A$5:$A$300,0))&amp;""</f>
        <v>—</v>
      </c>
      <c r="E24" s="19" t="str">
        <f>INDEX(메뉴구조!$E$5:$E$300,MATCH($A24,메뉴구조!$A$5:$A$300,0))&amp;""</f>
        <v>—</v>
      </c>
      <c r="F24" s="9" t="str">
        <f>INDEX(메뉴구조!$G$5:$G$300,MATCH($A24,메뉴구조!$A$5:$A$300,0))&amp;""</f>
        <v>회원가입 / 로그인설정 (생체)</v>
      </c>
      <c r="G24" s="18">
        <v>6</v>
      </c>
      <c r="H24" s="9" t="s">
        <v>617</v>
      </c>
      <c r="I24" s="9" t="s">
        <v>618</v>
      </c>
      <c r="J24" s="9" t="s">
        <v>619</v>
      </c>
      <c r="K24" s="18" t="s">
        <v>17</v>
      </c>
      <c r="L24" s="9"/>
      <c r="M24" s="9"/>
    </row>
    <row r="25" spans="1:13" ht="87.5" hidden="1">
      <c r="A25" s="18" t="s">
        <v>70</v>
      </c>
      <c r="B25" s="19" t="str">
        <f>INDEX(메뉴구조!$B$5:$B$300,MATCH($A25,메뉴구조!$A$5:$A$300,0))&amp;""</f>
        <v>회원가입</v>
      </c>
      <c r="C25" s="19" t="str">
        <f>INDEX(메뉴구조!$C$5:$C$300,MATCH($A25,메뉴구조!$A$5:$A$300,0))&amp;""</f>
        <v>투자정보 입력</v>
      </c>
      <c r="D25" s="19" t="str">
        <f>INDEX(메뉴구조!$D$5:$D$300,MATCH($A25,메뉴구조!$A$5:$A$300,0))&amp;""</f>
        <v>—</v>
      </c>
      <c r="E25" s="19" t="str">
        <f>INDEX(메뉴구조!$E$5:$E$300,MATCH($A25,메뉴구조!$A$5:$A$300,0))&amp;""</f>
        <v>—</v>
      </c>
      <c r="F25" s="9" t="str">
        <f>INDEX(메뉴구조!$G$5:$G$300,MATCH($A25,메뉴구조!$A$5:$A$300,0))&amp;""</f>
        <v>회원가입 / 투자정보 입력</v>
      </c>
      <c r="G25" s="18">
        <v>1</v>
      </c>
      <c r="H25" s="9" t="s">
        <v>620</v>
      </c>
      <c r="I25" s="9" t="s">
        <v>621</v>
      </c>
      <c r="J25" s="9"/>
      <c r="K25" s="18" t="s">
        <v>17</v>
      </c>
      <c r="L25" s="9"/>
      <c r="M25" s="9"/>
    </row>
    <row r="26" spans="1:13" ht="75" hidden="1">
      <c r="A26" s="18" t="s">
        <v>70</v>
      </c>
      <c r="B26" s="19" t="str">
        <f>INDEX(메뉴구조!$B$5:$B$300,MATCH($A26,메뉴구조!$A$5:$A$300,0))&amp;""</f>
        <v>회원가입</v>
      </c>
      <c r="C26" s="19" t="str">
        <f>INDEX(메뉴구조!$C$5:$C$300,MATCH($A26,메뉴구조!$A$5:$A$300,0))&amp;""</f>
        <v>투자정보 입력</v>
      </c>
      <c r="D26" s="19" t="str">
        <f>INDEX(메뉴구조!$D$5:$D$300,MATCH($A26,메뉴구조!$A$5:$A$300,0))&amp;""</f>
        <v>—</v>
      </c>
      <c r="E26" s="19" t="str">
        <f>INDEX(메뉴구조!$E$5:$E$300,MATCH($A26,메뉴구조!$A$5:$A$300,0))&amp;""</f>
        <v>—</v>
      </c>
      <c r="F26" s="9" t="str">
        <f>INDEX(메뉴구조!$G$5:$G$300,MATCH($A26,메뉴구조!$A$5:$A$300,0))&amp;""</f>
        <v>회원가입 / 투자정보 입력</v>
      </c>
      <c r="G26" s="18">
        <v>2</v>
      </c>
      <c r="H26" s="9" t="s">
        <v>622</v>
      </c>
      <c r="I26" s="9" t="s">
        <v>623</v>
      </c>
      <c r="J26" s="9" t="s">
        <v>624</v>
      </c>
      <c r="K26" s="18" t="s">
        <v>17</v>
      </c>
      <c r="L26" s="9"/>
      <c r="M26" s="9"/>
    </row>
    <row r="27" spans="1:13" ht="62.5" hidden="1">
      <c r="A27" s="18" t="s">
        <v>70</v>
      </c>
      <c r="B27" s="19" t="str">
        <f>INDEX(메뉴구조!$B$5:$B$300,MATCH($A27,메뉴구조!$A$5:$A$300,0))&amp;""</f>
        <v>회원가입</v>
      </c>
      <c r="C27" s="19" t="str">
        <f>INDEX(메뉴구조!$C$5:$C$300,MATCH($A27,메뉴구조!$A$5:$A$300,0))&amp;""</f>
        <v>투자정보 입력</v>
      </c>
      <c r="D27" s="19" t="str">
        <f>INDEX(메뉴구조!$D$5:$D$300,MATCH($A27,메뉴구조!$A$5:$A$300,0))&amp;""</f>
        <v>—</v>
      </c>
      <c r="E27" s="19" t="str">
        <f>INDEX(메뉴구조!$E$5:$E$300,MATCH($A27,메뉴구조!$A$5:$A$300,0))&amp;""</f>
        <v>—</v>
      </c>
      <c r="F27" s="9" t="str">
        <f>INDEX(메뉴구조!$G$5:$G$300,MATCH($A27,메뉴구조!$A$5:$A$300,0))&amp;""</f>
        <v>회원가입 / 투자정보 입력</v>
      </c>
      <c r="G27" s="18">
        <v>3</v>
      </c>
      <c r="H27" s="9" t="s">
        <v>625</v>
      </c>
      <c r="I27" s="9" t="s">
        <v>626</v>
      </c>
      <c r="J27" s="9"/>
      <c r="K27" s="18" t="s">
        <v>17</v>
      </c>
      <c r="L27" s="9"/>
      <c r="M27" s="9"/>
    </row>
    <row r="28" spans="1:13" ht="50" hidden="1">
      <c r="A28" s="18" t="s">
        <v>70</v>
      </c>
      <c r="B28" s="19" t="str">
        <f>INDEX(메뉴구조!$B$5:$B$300,MATCH($A28,메뉴구조!$A$5:$A$300,0))&amp;""</f>
        <v>회원가입</v>
      </c>
      <c r="C28" s="19" t="str">
        <f>INDEX(메뉴구조!$C$5:$C$300,MATCH($A28,메뉴구조!$A$5:$A$300,0))&amp;""</f>
        <v>투자정보 입력</v>
      </c>
      <c r="D28" s="19" t="str">
        <f>INDEX(메뉴구조!$D$5:$D$300,MATCH($A28,메뉴구조!$A$5:$A$300,0))&amp;""</f>
        <v>—</v>
      </c>
      <c r="E28" s="19" t="str">
        <f>INDEX(메뉴구조!$E$5:$E$300,MATCH($A28,메뉴구조!$A$5:$A$300,0))&amp;""</f>
        <v>—</v>
      </c>
      <c r="F28" s="9" t="str">
        <f>INDEX(메뉴구조!$G$5:$G$300,MATCH($A28,메뉴구조!$A$5:$A$300,0))&amp;""</f>
        <v>회원가입 / 투자정보 입력</v>
      </c>
      <c r="G28" s="18">
        <v>4</v>
      </c>
      <c r="H28" s="9" t="s">
        <v>627</v>
      </c>
      <c r="I28" s="9" t="s">
        <v>628</v>
      </c>
      <c r="J28" s="9"/>
      <c r="K28" s="18" t="s">
        <v>17</v>
      </c>
      <c r="L28" s="9"/>
      <c r="M28" s="9"/>
    </row>
    <row r="29" spans="1:13" ht="37.5" hidden="1">
      <c r="A29" s="18" t="s">
        <v>70</v>
      </c>
      <c r="B29" s="19" t="str">
        <f>INDEX(메뉴구조!$B$5:$B$300,MATCH($A29,메뉴구조!$A$5:$A$300,0))&amp;""</f>
        <v>회원가입</v>
      </c>
      <c r="C29" s="19" t="str">
        <f>INDEX(메뉴구조!$C$5:$C$300,MATCH($A29,메뉴구조!$A$5:$A$300,0))&amp;""</f>
        <v>투자정보 입력</v>
      </c>
      <c r="D29" s="19" t="str">
        <f>INDEX(메뉴구조!$D$5:$D$300,MATCH($A29,메뉴구조!$A$5:$A$300,0))&amp;""</f>
        <v>—</v>
      </c>
      <c r="E29" s="19" t="str">
        <f>INDEX(메뉴구조!$E$5:$E$300,MATCH($A29,메뉴구조!$A$5:$A$300,0))&amp;""</f>
        <v>—</v>
      </c>
      <c r="F29" s="9" t="str">
        <f>INDEX(메뉴구조!$G$5:$G$300,MATCH($A29,메뉴구조!$A$5:$A$300,0))&amp;""</f>
        <v>회원가입 / 투자정보 입력</v>
      </c>
      <c r="G29" s="18">
        <v>5</v>
      </c>
      <c r="H29" s="9" t="s">
        <v>629</v>
      </c>
      <c r="I29" s="9" t="s">
        <v>630</v>
      </c>
      <c r="J29" s="9"/>
      <c r="K29" s="18" t="s">
        <v>17</v>
      </c>
      <c r="L29" s="9"/>
      <c r="M29" s="9"/>
    </row>
    <row r="30" spans="1:13" ht="62.5" hidden="1">
      <c r="A30" s="18" t="s">
        <v>70</v>
      </c>
      <c r="B30" s="19" t="str">
        <f>INDEX(메뉴구조!$B$5:$B$300,MATCH($A30,메뉴구조!$A$5:$A$300,0))&amp;""</f>
        <v>회원가입</v>
      </c>
      <c r="C30" s="19" t="str">
        <f>INDEX(메뉴구조!$C$5:$C$300,MATCH($A30,메뉴구조!$A$5:$A$300,0))&amp;""</f>
        <v>투자정보 입력</v>
      </c>
      <c r="D30" s="19" t="str">
        <f>INDEX(메뉴구조!$D$5:$D$300,MATCH($A30,메뉴구조!$A$5:$A$300,0))&amp;""</f>
        <v>—</v>
      </c>
      <c r="E30" s="19" t="str">
        <f>INDEX(메뉴구조!$E$5:$E$300,MATCH($A30,메뉴구조!$A$5:$A$300,0))&amp;""</f>
        <v>—</v>
      </c>
      <c r="F30" s="9" t="str">
        <f>INDEX(메뉴구조!$G$5:$G$300,MATCH($A30,메뉴구조!$A$5:$A$300,0))&amp;""</f>
        <v>회원가입 / 투자정보 입력</v>
      </c>
      <c r="G30" s="18">
        <v>6</v>
      </c>
      <c r="H30" s="9" t="s">
        <v>631</v>
      </c>
      <c r="I30" s="9" t="s">
        <v>632</v>
      </c>
      <c r="J30" s="9"/>
      <c r="K30" s="18" t="s">
        <v>17</v>
      </c>
      <c r="L30" s="9"/>
      <c r="M30" s="9"/>
    </row>
    <row r="31" spans="1:13" ht="50" hidden="1">
      <c r="A31" s="18" t="s">
        <v>70</v>
      </c>
      <c r="B31" s="19" t="str">
        <f>INDEX(메뉴구조!$B$5:$B$300,MATCH($A31,메뉴구조!$A$5:$A$300,0))&amp;""</f>
        <v>회원가입</v>
      </c>
      <c r="C31" s="19" t="str">
        <f>INDEX(메뉴구조!$C$5:$C$300,MATCH($A31,메뉴구조!$A$5:$A$300,0))&amp;""</f>
        <v>투자정보 입력</v>
      </c>
      <c r="D31" s="19" t="str">
        <f>INDEX(메뉴구조!$D$5:$D$300,MATCH($A31,메뉴구조!$A$5:$A$300,0))&amp;""</f>
        <v>—</v>
      </c>
      <c r="E31" s="19" t="str">
        <f>INDEX(메뉴구조!$E$5:$E$300,MATCH($A31,메뉴구조!$A$5:$A$300,0))&amp;""</f>
        <v>—</v>
      </c>
      <c r="F31" s="9" t="str">
        <f>INDEX(메뉴구조!$G$5:$G$300,MATCH($A31,메뉴구조!$A$5:$A$300,0))&amp;""</f>
        <v>회원가입 / 투자정보 입력</v>
      </c>
      <c r="G31" s="18">
        <v>7</v>
      </c>
      <c r="H31" s="9" t="s">
        <v>633</v>
      </c>
      <c r="I31" s="9" t="s">
        <v>634</v>
      </c>
      <c r="J31" s="9"/>
      <c r="K31" s="18" t="s">
        <v>17</v>
      </c>
      <c r="L31" s="9"/>
      <c r="M31" s="9"/>
    </row>
    <row r="32" spans="1:13" ht="37.5" hidden="1">
      <c r="A32" s="18" t="s">
        <v>72</v>
      </c>
      <c r="B32" s="19" t="str">
        <f>INDEX(메뉴구조!$B$5:$B$300,MATCH($A32,메뉴구조!$A$5:$A$300,0))&amp;""</f>
        <v>회원가입</v>
      </c>
      <c r="C32" s="19" t="str">
        <f>INDEX(메뉴구조!$C$5:$C$300,MATCH($A32,메뉴구조!$A$5:$A$300,0))&amp;""</f>
        <v>투자정보 입력 2</v>
      </c>
      <c r="D32" s="19" t="str">
        <f>INDEX(메뉴구조!$D$5:$D$300,MATCH($A32,메뉴구조!$A$5:$A$300,0))&amp;""</f>
        <v>—</v>
      </c>
      <c r="E32" s="19" t="str">
        <f>INDEX(메뉴구조!$E$5:$E$300,MATCH($A32,메뉴구조!$A$5:$A$300,0))&amp;""</f>
        <v>—</v>
      </c>
      <c r="F32" s="9" t="str">
        <f>INDEX(메뉴구조!$G$5:$G$300,MATCH($A32,메뉴구조!$A$5:$A$300,0))&amp;""</f>
        <v>회원가입 / 투자정보 입력 2</v>
      </c>
      <c r="G32" s="18">
        <v>1</v>
      </c>
      <c r="H32" s="9" t="s">
        <v>615</v>
      </c>
      <c r="I32" s="9" t="s">
        <v>635</v>
      </c>
      <c r="J32" s="9"/>
      <c r="K32" s="18" t="s">
        <v>17</v>
      </c>
      <c r="L32" s="9"/>
      <c r="M32" s="9"/>
    </row>
    <row r="33" spans="1:13" ht="37.5" hidden="1">
      <c r="A33" s="18" t="s">
        <v>72</v>
      </c>
      <c r="B33" s="19" t="str">
        <f>INDEX(메뉴구조!$B$5:$B$300,MATCH($A33,메뉴구조!$A$5:$A$300,0))&amp;""</f>
        <v>회원가입</v>
      </c>
      <c r="C33" s="19" t="str">
        <f>INDEX(메뉴구조!$C$5:$C$300,MATCH($A33,메뉴구조!$A$5:$A$300,0))&amp;""</f>
        <v>투자정보 입력 2</v>
      </c>
      <c r="D33" s="19" t="str">
        <f>INDEX(메뉴구조!$D$5:$D$300,MATCH($A33,메뉴구조!$A$5:$A$300,0))&amp;""</f>
        <v>—</v>
      </c>
      <c r="E33" s="19" t="str">
        <f>INDEX(메뉴구조!$E$5:$E$300,MATCH($A33,메뉴구조!$A$5:$A$300,0))&amp;""</f>
        <v>—</v>
      </c>
      <c r="F33" s="9" t="str">
        <f>INDEX(메뉴구조!$G$5:$G$300,MATCH($A33,메뉴구조!$A$5:$A$300,0))&amp;""</f>
        <v>회원가입 / 투자정보 입력 2</v>
      </c>
      <c r="G33" s="18">
        <v>2</v>
      </c>
      <c r="H33" s="9" t="s">
        <v>631</v>
      </c>
      <c r="I33" s="9" t="s">
        <v>636</v>
      </c>
      <c r="J33" s="9"/>
      <c r="K33" s="18" t="s">
        <v>17</v>
      </c>
      <c r="L33" s="9"/>
      <c r="M33" s="9"/>
    </row>
    <row r="34" spans="1:13" ht="37.5" hidden="1">
      <c r="A34" s="18" t="s">
        <v>72</v>
      </c>
      <c r="B34" s="19" t="str">
        <f>INDEX(메뉴구조!$B$5:$B$300,MATCH($A34,메뉴구조!$A$5:$A$300,0))&amp;""</f>
        <v>회원가입</v>
      </c>
      <c r="C34" s="19" t="str">
        <f>INDEX(메뉴구조!$C$5:$C$300,MATCH($A34,메뉴구조!$A$5:$A$300,0))&amp;""</f>
        <v>투자정보 입력 2</v>
      </c>
      <c r="D34" s="19" t="str">
        <f>INDEX(메뉴구조!$D$5:$D$300,MATCH($A34,메뉴구조!$A$5:$A$300,0))&amp;""</f>
        <v>—</v>
      </c>
      <c r="E34" s="19" t="str">
        <f>INDEX(메뉴구조!$E$5:$E$300,MATCH($A34,메뉴구조!$A$5:$A$300,0))&amp;""</f>
        <v>—</v>
      </c>
      <c r="F34" s="9" t="str">
        <f>INDEX(메뉴구조!$G$5:$G$300,MATCH($A34,메뉴구조!$A$5:$A$300,0))&amp;""</f>
        <v>회원가입 / 투자정보 입력 2</v>
      </c>
      <c r="G34" s="18">
        <v>3</v>
      </c>
      <c r="H34" s="9" t="s">
        <v>637</v>
      </c>
      <c r="I34" s="9" t="s">
        <v>638</v>
      </c>
      <c r="J34" s="9"/>
      <c r="K34" s="18" t="s">
        <v>17</v>
      </c>
      <c r="L34" s="9"/>
      <c r="M34" s="9"/>
    </row>
    <row r="35" spans="1:13" ht="87.5" hidden="1">
      <c r="A35" s="18" t="s">
        <v>72</v>
      </c>
      <c r="B35" s="19" t="str">
        <f>INDEX(메뉴구조!$B$5:$B$300,MATCH($A35,메뉴구조!$A$5:$A$300,0))&amp;""</f>
        <v>회원가입</v>
      </c>
      <c r="C35" s="19" t="str">
        <f>INDEX(메뉴구조!$C$5:$C$300,MATCH($A35,메뉴구조!$A$5:$A$300,0))&amp;""</f>
        <v>투자정보 입력 2</v>
      </c>
      <c r="D35" s="19" t="str">
        <f>INDEX(메뉴구조!$D$5:$D$300,MATCH($A35,메뉴구조!$A$5:$A$300,0))&amp;""</f>
        <v>—</v>
      </c>
      <c r="E35" s="19" t="str">
        <f>INDEX(메뉴구조!$E$5:$E$300,MATCH($A35,메뉴구조!$A$5:$A$300,0))&amp;""</f>
        <v>—</v>
      </c>
      <c r="F35" s="9" t="str">
        <f>INDEX(메뉴구조!$G$5:$G$300,MATCH($A35,메뉴구조!$A$5:$A$300,0))&amp;""</f>
        <v>회원가입 / 투자정보 입력 2</v>
      </c>
      <c r="G35" s="18">
        <v>4</v>
      </c>
      <c r="H35" s="9" t="s">
        <v>639</v>
      </c>
      <c r="I35" s="9" t="s">
        <v>640</v>
      </c>
      <c r="J35" s="9"/>
      <c r="K35" s="18" t="s">
        <v>17</v>
      </c>
      <c r="L35" s="9"/>
      <c r="M35" s="9"/>
    </row>
    <row r="36" spans="1:13" ht="50" hidden="1">
      <c r="A36" s="18" t="s">
        <v>72</v>
      </c>
      <c r="B36" s="19" t="str">
        <f>INDEX(메뉴구조!$B$5:$B$300,MATCH($A36,메뉴구조!$A$5:$A$300,0))&amp;""</f>
        <v>회원가입</v>
      </c>
      <c r="C36" s="19" t="str">
        <f>INDEX(메뉴구조!$C$5:$C$300,MATCH($A36,메뉴구조!$A$5:$A$300,0))&amp;""</f>
        <v>투자정보 입력 2</v>
      </c>
      <c r="D36" s="19" t="str">
        <f>INDEX(메뉴구조!$D$5:$D$300,MATCH($A36,메뉴구조!$A$5:$A$300,0))&amp;""</f>
        <v>—</v>
      </c>
      <c r="E36" s="19" t="str">
        <f>INDEX(메뉴구조!$E$5:$E$300,MATCH($A36,메뉴구조!$A$5:$A$300,0))&amp;""</f>
        <v>—</v>
      </c>
      <c r="F36" s="9" t="str">
        <f>INDEX(메뉴구조!$G$5:$G$300,MATCH($A36,메뉴구조!$A$5:$A$300,0))&amp;""</f>
        <v>회원가입 / 투자정보 입력 2</v>
      </c>
      <c r="G36" s="18">
        <v>5</v>
      </c>
      <c r="H36" s="9" t="s">
        <v>641</v>
      </c>
      <c r="I36" s="9" t="s">
        <v>642</v>
      </c>
      <c r="J36" s="9"/>
      <c r="K36" s="18" t="s">
        <v>17</v>
      </c>
      <c r="L36" s="9"/>
      <c r="M36" s="9"/>
    </row>
    <row r="37" spans="1:13" ht="37.5" hidden="1">
      <c r="A37" s="18" t="s">
        <v>72</v>
      </c>
      <c r="B37" s="19" t="str">
        <f>INDEX(메뉴구조!$B$5:$B$300,MATCH($A37,메뉴구조!$A$5:$A$300,0))&amp;""</f>
        <v>회원가입</v>
      </c>
      <c r="C37" s="19" t="str">
        <f>INDEX(메뉴구조!$C$5:$C$300,MATCH($A37,메뉴구조!$A$5:$A$300,0))&amp;""</f>
        <v>투자정보 입력 2</v>
      </c>
      <c r="D37" s="19" t="str">
        <f>INDEX(메뉴구조!$D$5:$D$300,MATCH($A37,메뉴구조!$A$5:$A$300,0))&amp;""</f>
        <v>—</v>
      </c>
      <c r="E37" s="19" t="str">
        <f>INDEX(메뉴구조!$E$5:$E$300,MATCH($A37,메뉴구조!$A$5:$A$300,0))&amp;""</f>
        <v>—</v>
      </c>
      <c r="F37" s="9" t="str">
        <f>INDEX(메뉴구조!$G$5:$G$300,MATCH($A37,메뉴구조!$A$5:$A$300,0))&amp;""</f>
        <v>회원가입 / 투자정보 입력 2</v>
      </c>
      <c r="G37" s="18">
        <v>6</v>
      </c>
      <c r="H37" s="9" t="s">
        <v>643</v>
      </c>
      <c r="I37" s="9" t="s">
        <v>644</v>
      </c>
      <c r="J37" s="9"/>
      <c r="K37" s="18" t="s">
        <v>17</v>
      </c>
      <c r="L37" s="9"/>
      <c r="M37" s="9"/>
    </row>
    <row r="38" spans="1:13" ht="75" hidden="1">
      <c r="A38" s="18" t="s">
        <v>72</v>
      </c>
      <c r="B38" s="19" t="str">
        <f>INDEX(메뉴구조!$B$5:$B$300,MATCH($A38,메뉴구조!$A$5:$A$300,0))&amp;""</f>
        <v>회원가입</v>
      </c>
      <c r="C38" s="19" t="str">
        <f>INDEX(메뉴구조!$C$5:$C$300,MATCH($A38,메뉴구조!$A$5:$A$300,0))&amp;""</f>
        <v>투자정보 입력 2</v>
      </c>
      <c r="D38" s="19" t="str">
        <f>INDEX(메뉴구조!$D$5:$D$300,MATCH($A38,메뉴구조!$A$5:$A$300,0))&amp;""</f>
        <v>—</v>
      </c>
      <c r="E38" s="19" t="str">
        <f>INDEX(메뉴구조!$E$5:$E$300,MATCH($A38,메뉴구조!$A$5:$A$300,0))&amp;""</f>
        <v>—</v>
      </c>
      <c r="F38" s="9" t="str">
        <f>INDEX(메뉴구조!$G$5:$G$300,MATCH($A38,메뉴구조!$A$5:$A$300,0))&amp;""</f>
        <v>회원가입 / 투자정보 입력 2</v>
      </c>
      <c r="G38" s="18">
        <v>7</v>
      </c>
      <c r="H38" s="9" t="s">
        <v>645</v>
      </c>
      <c r="I38" s="9" t="s">
        <v>646</v>
      </c>
      <c r="J38" s="9" t="s">
        <v>647</v>
      </c>
      <c r="K38" s="18" t="s">
        <v>17</v>
      </c>
      <c r="L38" s="9"/>
      <c r="M38" s="9"/>
    </row>
    <row r="39" spans="1:13" ht="75" hidden="1">
      <c r="A39" s="18" t="s">
        <v>72</v>
      </c>
      <c r="B39" s="19" t="str">
        <f>INDEX(메뉴구조!$B$5:$B$300,MATCH($A39,메뉴구조!$A$5:$A$300,0))&amp;""</f>
        <v>회원가입</v>
      </c>
      <c r="C39" s="19" t="str">
        <f>INDEX(메뉴구조!$C$5:$C$300,MATCH($A39,메뉴구조!$A$5:$A$300,0))&amp;""</f>
        <v>투자정보 입력 2</v>
      </c>
      <c r="D39" s="19" t="str">
        <f>INDEX(메뉴구조!$D$5:$D$300,MATCH($A39,메뉴구조!$A$5:$A$300,0))&amp;""</f>
        <v>—</v>
      </c>
      <c r="E39" s="19" t="str">
        <f>INDEX(메뉴구조!$E$5:$E$300,MATCH($A39,메뉴구조!$A$5:$A$300,0))&amp;""</f>
        <v>—</v>
      </c>
      <c r="F39" s="9" t="str">
        <f>INDEX(메뉴구조!$G$5:$G$300,MATCH($A39,메뉴구조!$A$5:$A$300,0))&amp;""</f>
        <v>회원가입 / 투자정보 입력 2</v>
      </c>
      <c r="G39" s="18">
        <v>8</v>
      </c>
      <c r="H39" s="9" t="s">
        <v>648</v>
      </c>
      <c r="I39" s="9" t="s">
        <v>649</v>
      </c>
      <c r="J39" s="9"/>
      <c r="K39" s="18" t="s">
        <v>17</v>
      </c>
      <c r="L39" s="9"/>
      <c r="M39" s="9"/>
    </row>
    <row r="40" spans="1:13" ht="37.5" hidden="1">
      <c r="A40" s="18" t="s">
        <v>72</v>
      </c>
      <c r="B40" s="19" t="str">
        <f>INDEX(메뉴구조!$B$5:$B$300,MATCH($A40,메뉴구조!$A$5:$A$300,0))&amp;""</f>
        <v>회원가입</v>
      </c>
      <c r="C40" s="19" t="str">
        <f>INDEX(메뉴구조!$C$5:$C$300,MATCH($A40,메뉴구조!$A$5:$A$300,0))&amp;""</f>
        <v>투자정보 입력 2</v>
      </c>
      <c r="D40" s="19" t="str">
        <f>INDEX(메뉴구조!$D$5:$D$300,MATCH($A40,메뉴구조!$A$5:$A$300,0))&amp;""</f>
        <v>—</v>
      </c>
      <c r="E40" s="19" t="str">
        <f>INDEX(메뉴구조!$E$5:$E$300,MATCH($A40,메뉴구조!$A$5:$A$300,0))&amp;""</f>
        <v>—</v>
      </c>
      <c r="F40" s="9" t="str">
        <f>INDEX(메뉴구조!$G$5:$G$300,MATCH($A40,메뉴구조!$A$5:$A$300,0))&amp;""</f>
        <v>회원가입 / 투자정보 입력 2</v>
      </c>
      <c r="G40" s="18">
        <v>9</v>
      </c>
      <c r="H40" s="9" t="s">
        <v>650</v>
      </c>
      <c r="I40" s="9" t="s">
        <v>651</v>
      </c>
      <c r="J40" s="9"/>
      <c r="K40" s="18" t="s">
        <v>17</v>
      </c>
      <c r="L40" s="9"/>
      <c r="M40" s="9"/>
    </row>
    <row r="41" spans="1:13" ht="37.5" hidden="1">
      <c r="A41" s="18" t="s">
        <v>72</v>
      </c>
      <c r="B41" s="19" t="str">
        <f>INDEX(메뉴구조!$B$5:$B$300,MATCH($A41,메뉴구조!$A$5:$A$300,0))&amp;""</f>
        <v>회원가입</v>
      </c>
      <c r="C41" s="19" t="str">
        <f>INDEX(메뉴구조!$C$5:$C$300,MATCH($A41,메뉴구조!$A$5:$A$300,0))&amp;""</f>
        <v>투자정보 입력 2</v>
      </c>
      <c r="D41" s="19" t="str">
        <f>INDEX(메뉴구조!$D$5:$D$300,MATCH($A41,메뉴구조!$A$5:$A$300,0))&amp;""</f>
        <v>—</v>
      </c>
      <c r="E41" s="19" t="str">
        <f>INDEX(메뉴구조!$E$5:$E$300,MATCH($A41,메뉴구조!$A$5:$A$300,0))&amp;""</f>
        <v>—</v>
      </c>
      <c r="F41" s="9" t="str">
        <f>INDEX(메뉴구조!$G$5:$G$300,MATCH($A41,메뉴구조!$A$5:$A$300,0))&amp;""</f>
        <v>회원가입 / 투자정보 입력 2</v>
      </c>
      <c r="G41" s="18">
        <v>10</v>
      </c>
      <c r="H41" s="9" t="s">
        <v>652</v>
      </c>
      <c r="I41" s="9" t="s">
        <v>653</v>
      </c>
      <c r="J41" s="9"/>
      <c r="K41" s="18" t="s">
        <v>17</v>
      </c>
      <c r="L41" s="9"/>
      <c r="M41" s="9"/>
    </row>
    <row r="42" spans="1:13" ht="100" hidden="1">
      <c r="A42" s="18" t="s">
        <v>72</v>
      </c>
      <c r="B42" s="19" t="str">
        <f>INDEX(메뉴구조!$B$5:$B$300,MATCH($A42,메뉴구조!$A$5:$A$300,0))&amp;""</f>
        <v>회원가입</v>
      </c>
      <c r="C42" s="19" t="str">
        <f>INDEX(메뉴구조!$C$5:$C$300,MATCH($A42,메뉴구조!$A$5:$A$300,0))&amp;""</f>
        <v>투자정보 입력 2</v>
      </c>
      <c r="D42" s="19" t="str">
        <f>INDEX(메뉴구조!$D$5:$D$300,MATCH($A42,메뉴구조!$A$5:$A$300,0))&amp;""</f>
        <v>—</v>
      </c>
      <c r="E42" s="19" t="str">
        <f>INDEX(메뉴구조!$E$5:$E$300,MATCH($A42,메뉴구조!$A$5:$A$300,0))&amp;""</f>
        <v>—</v>
      </c>
      <c r="F42" s="9" t="str">
        <f>INDEX(메뉴구조!$G$5:$G$300,MATCH($A42,메뉴구조!$A$5:$A$300,0))&amp;""</f>
        <v>회원가입 / 투자정보 입력 2</v>
      </c>
      <c r="G42" s="18">
        <v>11</v>
      </c>
      <c r="H42" s="9" t="s">
        <v>605</v>
      </c>
      <c r="I42" s="9" t="s">
        <v>654</v>
      </c>
      <c r="J42" s="9"/>
      <c r="K42" s="18" t="s">
        <v>17</v>
      </c>
      <c r="L42" s="9"/>
      <c r="M42" s="9"/>
    </row>
    <row r="43" spans="1:13" ht="50" hidden="1">
      <c r="A43" s="18" t="s">
        <v>74</v>
      </c>
      <c r="B43" s="19" t="str">
        <f>INDEX(메뉴구조!$B$5:$B$300,MATCH($A43,메뉴구조!$A$5:$A$300,0))&amp;""</f>
        <v>회원가입</v>
      </c>
      <c r="C43" s="19" t="str">
        <f>INDEX(메뉴구조!$C$5:$C$300,MATCH($A43,메뉴구조!$A$5:$A$300,0))&amp;""</f>
        <v>가입완료</v>
      </c>
      <c r="D43" s="19" t="str">
        <f>INDEX(메뉴구조!$D$5:$D$300,MATCH($A43,메뉴구조!$A$5:$A$300,0))&amp;""</f>
        <v>—</v>
      </c>
      <c r="E43" s="19" t="str">
        <f>INDEX(메뉴구조!$E$5:$E$300,MATCH($A43,메뉴구조!$A$5:$A$300,0))&amp;""</f>
        <v>—</v>
      </c>
      <c r="F43" s="9" t="str">
        <f>INDEX(메뉴구조!$G$5:$G$300,MATCH($A43,메뉴구조!$A$5:$A$300,0))&amp;""</f>
        <v>회원가입 / 가입완료</v>
      </c>
      <c r="G43" s="18">
        <v>1</v>
      </c>
      <c r="H43" s="9" t="s">
        <v>615</v>
      </c>
      <c r="I43" s="9" t="s">
        <v>655</v>
      </c>
      <c r="J43" s="9"/>
      <c r="K43" s="18" t="s">
        <v>17</v>
      </c>
      <c r="L43" s="9"/>
      <c r="M43" s="9"/>
    </row>
    <row r="44" spans="1:13" ht="50" hidden="1">
      <c r="A44" s="18" t="s">
        <v>74</v>
      </c>
      <c r="B44" s="19" t="str">
        <f>INDEX(메뉴구조!$B$5:$B$300,MATCH($A44,메뉴구조!$A$5:$A$300,0))&amp;""</f>
        <v>회원가입</v>
      </c>
      <c r="C44" s="19" t="str">
        <f>INDEX(메뉴구조!$C$5:$C$300,MATCH($A44,메뉴구조!$A$5:$A$300,0))&amp;""</f>
        <v>가입완료</v>
      </c>
      <c r="D44" s="19" t="str">
        <f>INDEX(메뉴구조!$D$5:$D$300,MATCH($A44,메뉴구조!$A$5:$A$300,0))&amp;""</f>
        <v>—</v>
      </c>
      <c r="E44" s="19" t="str">
        <f>INDEX(메뉴구조!$E$5:$E$300,MATCH($A44,메뉴구조!$A$5:$A$300,0))&amp;""</f>
        <v>—</v>
      </c>
      <c r="F44" s="9" t="str">
        <f>INDEX(메뉴구조!$G$5:$G$300,MATCH($A44,메뉴구조!$A$5:$A$300,0))&amp;""</f>
        <v>회원가입 / 가입완료</v>
      </c>
      <c r="G44" s="18">
        <v>2</v>
      </c>
      <c r="H44" s="9" t="s">
        <v>656</v>
      </c>
      <c r="I44" s="9" t="s">
        <v>657</v>
      </c>
      <c r="J44" s="9"/>
      <c r="K44" s="18" t="s">
        <v>17</v>
      </c>
      <c r="L44" s="9"/>
      <c r="M44" s="9"/>
    </row>
    <row r="45" spans="1:13" ht="25" hidden="1">
      <c r="A45" s="18" t="s">
        <v>74</v>
      </c>
      <c r="B45" s="19" t="str">
        <f>INDEX(메뉴구조!$B$5:$B$300,MATCH($A45,메뉴구조!$A$5:$A$300,0))&amp;""</f>
        <v>회원가입</v>
      </c>
      <c r="C45" s="19" t="str">
        <f>INDEX(메뉴구조!$C$5:$C$300,MATCH($A45,메뉴구조!$A$5:$A$300,0))&amp;""</f>
        <v>가입완료</v>
      </c>
      <c r="D45" s="19" t="str">
        <f>INDEX(메뉴구조!$D$5:$D$300,MATCH($A45,메뉴구조!$A$5:$A$300,0))&amp;""</f>
        <v>—</v>
      </c>
      <c r="E45" s="19" t="str">
        <f>INDEX(메뉴구조!$E$5:$E$300,MATCH($A45,메뉴구조!$A$5:$A$300,0))&amp;""</f>
        <v>—</v>
      </c>
      <c r="F45" s="9" t="str">
        <f>INDEX(메뉴구조!$G$5:$G$300,MATCH($A45,메뉴구조!$A$5:$A$300,0))&amp;""</f>
        <v>회원가입 / 가입완료</v>
      </c>
      <c r="G45" s="18">
        <v>3</v>
      </c>
      <c r="H45" s="9" t="s">
        <v>658</v>
      </c>
      <c r="I45" s="9" t="s">
        <v>659</v>
      </c>
      <c r="J45" s="9"/>
      <c r="K45" s="18" t="s">
        <v>17</v>
      </c>
      <c r="L45" s="9"/>
      <c r="M45" s="9"/>
    </row>
    <row r="46" spans="1:13" ht="50" hidden="1">
      <c r="A46" s="18" t="s">
        <v>74</v>
      </c>
      <c r="B46" s="19" t="str">
        <f>INDEX(메뉴구조!$B$5:$B$300,MATCH($A46,메뉴구조!$A$5:$A$300,0))&amp;""</f>
        <v>회원가입</v>
      </c>
      <c r="C46" s="19" t="str">
        <f>INDEX(메뉴구조!$C$5:$C$300,MATCH($A46,메뉴구조!$A$5:$A$300,0))&amp;""</f>
        <v>가입완료</v>
      </c>
      <c r="D46" s="19" t="str">
        <f>INDEX(메뉴구조!$D$5:$D$300,MATCH($A46,메뉴구조!$A$5:$A$300,0))&amp;""</f>
        <v>—</v>
      </c>
      <c r="E46" s="19" t="str">
        <f>INDEX(메뉴구조!$E$5:$E$300,MATCH($A46,메뉴구조!$A$5:$A$300,0))&amp;""</f>
        <v>—</v>
      </c>
      <c r="F46" s="9" t="str">
        <f>INDEX(메뉴구조!$G$5:$G$300,MATCH($A46,메뉴구조!$A$5:$A$300,0))&amp;""</f>
        <v>회원가입 / 가입완료</v>
      </c>
      <c r="G46" s="18">
        <v>4</v>
      </c>
      <c r="H46" s="9" t="s">
        <v>660</v>
      </c>
      <c r="I46" s="9" t="s">
        <v>661</v>
      </c>
      <c r="J46" s="9" t="s">
        <v>662</v>
      </c>
      <c r="K46" s="18" t="s">
        <v>17</v>
      </c>
      <c r="L46" s="9"/>
      <c r="M46" s="9"/>
    </row>
    <row r="47" spans="1:13" ht="50" hidden="1">
      <c r="A47" s="18" t="s">
        <v>74</v>
      </c>
      <c r="B47" s="19" t="str">
        <f>INDEX(메뉴구조!$B$5:$B$300,MATCH($A47,메뉴구조!$A$5:$A$300,0))&amp;""</f>
        <v>회원가입</v>
      </c>
      <c r="C47" s="19" t="str">
        <f>INDEX(메뉴구조!$C$5:$C$300,MATCH($A47,메뉴구조!$A$5:$A$300,0))&amp;""</f>
        <v>가입완료</v>
      </c>
      <c r="D47" s="19" t="str">
        <f>INDEX(메뉴구조!$D$5:$D$300,MATCH($A47,메뉴구조!$A$5:$A$300,0))&amp;""</f>
        <v>—</v>
      </c>
      <c r="E47" s="19" t="str">
        <f>INDEX(메뉴구조!$E$5:$E$300,MATCH($A47,메뉴구조!$A$5:$A$300,0))&amp;""</f>
        <v>—</v>
      </c>
      <c r="F47" s="9" t="str">
        <f>INDEX(메뉴구조!$G$5:$G$300,MATCH($A47,메뉴구조!$A$5:$A$300,0))&amp;""</f>
        <v>회원가입 / 가입완료</v>
      </c>
      <c r="G47" s="18">
        <v>5</v>
      </c>
      <c r="H47" s="9" t="s">
        <v>663</v>
      </c>
      <c r="I47" s="9" t="s">
        <v>664</v>
      </c>
      <c r="J47" s="9"/>
      <c r="K47" s="18" t="s">
        <v>17</v>
      </c>
      <c r="L47" s="9"/>
      <c r="M47" s="9"/>
    </row>
    <row r="48" spans="1:13" ht="37.5" hidden="1">
      <c r="A48" s="18" t="s">
        <v>74</v>
      </c>
      <c r="B48" s="19" t="str">
        <f>INDEX(메뉴구조!$B$5:$B$300,MATCH($A48,메뉴구조!$A$5:$A$300,0))&amp;""</f>
        <v>회원가입</v>
      </c>
      <c r="C48" s="19" t="str">
        <f>INDEX(메뉴구조!$C$5:$C$300,MATCH($A48,메뉴구조!$A$5:$A$300,0))&amp;""</f>
        <v>가입완료</v>
      </c>
      <c r="D48" s="19" t="str">
        <f>INDEX(메뉴구조!$D$5:$D$300,MATCH($A48,메뉴구조!$A$5:$A$300,0))&amp;""</f>
        <v>—</v>
      </c>
      <c r="E48" s="19" t="str">
        <f>INDEX(메뉴구조!$E$5:$E$300,MATCH($A48,메뉴구조!$A$5:$A$300,0))&amp;""</f>
        <v>—</v>
      </c>
      <c r="F48" s="9" t="str">
        <f>INDEX(메뉴구조!$G$5:$G$300,MATCH($A48,메뉴구조!$A$5:$A$300,0))&amp;""</f>
        <v>회원가입 / 가입완료</v>
      </c>
      <c r="G48" s="18">
        <v>6</v>
      </c>
      <c r="H48" s="9" t="s">
        <v>665</v>
      </c>
      <c r="I48" s="9" t="s">
        <v>666</v>
      </c>
      <c r="J48" s="9"/>
      <c r="K48" s="18" t="s">
        <v>17</v>
      </c>
      <c r="L48" s="9"/>
      <c r="M48" s="9"/>
    </row>
    <row r="49" spans="1:13" ht="87.5" hidden="1">
      <c r="A49" s="18" t="s">
        <v>74</v>
      </c>
      <c r="B49" s="19" t="str">
        <f>INDEX(메뉴구조!$B$5:$B$300,MATCH($A49,메뉴구조!$A$5:$A$300,0))&amp;""</f>
        <v>회원가입</v>
      </c>
      <c r="C49" s="19" t="str">
        <f>INDEX(메뉴구조!$C$5:$C$300,MATCH($A49,메뉴구조!$A$5:$A$300,0))&amp;""</f>
        <v>가입완료</v>
      </c>
      <c r="D49" s="19" t="str">
        <f>INDEX(메뉴구조!$D$5:$D$300,MATCH($A49,메뉴구조!$A$5:$A$300,0))&amp;""</f>
        <v>—</v>
      </c>
      <c r="E49" s="19" t="str">
        <f>INDEX(메뉴구조!$E$5:$E$300,MATCH($A49,메뉴구조!$A$5:$A$300,0))&amp;""</f>
        <v>—</v>
      </c>
      <c r="F49" s="9" t="str">
        <f>INDEX(메뉴구조!$G$5:$G$300,MATCH($A49,메뉴구조!$A$5:$A$300,0))&amp;""</f>
        <v>회원가입 / 가입완료</v>
      </c>
      <c r="G49" s="18">
        <v>7</v>
      </c>
      <c r="H49" s="9" t="s">
        <v>667</v>
      </c>
      <c r="I49" s="9" t="s">
        <v>668</v>
      </c>
      <c r="J49" s="9" t="s">
        <v>669</v>
      </c>
      <c r="K49" s="18" t="s">
        <v>17</v>
      </c>
      <c r="L49" s="9"/>
      <c r="M49" s="9"/>
    </row>
    <row r="50" spans="1:13" ht="87.5" hidden="1">
      <c r="A50" s="18" t="s">
        <v>74</v>
      </c>
      <c r="B50" s="19" t="str">
        <f>INDEX(메뉴구조!$B$5:$B$300,MATCH($A50,메뉴구조!$A$5:$A$300,0))&amp;""</f>
        <v>회원가입</v>
      </c>
      <c r="C50" s="19" t="str">
        <f>INDEX(메뉴구조!$C$5:$C$300,MATCH($A50,메뉴구조!$A$5:$A$300,0))&amp;""</f>
        <v>가입완료</v>
      </c>
      <c r="D50" s="19" t="str">
        <f>INDEX(메뉴구조!$D$5:$D$300,MATCH($A50,메뉴구조!$A$5:$A$300,0))&amp;""</f>
        <v>—</v>
      </c>
      <c r="E50" s="19" t="str">
        <f>INDEX(메뉴구조!$E$5:$E$300,MATCH($A50,메뉴구조!$A$5:$A$300,0))&amp;""</f>
        <v>—</v>
      </c>
      <c r="F50" s="9" t="str">
        <f>INDEX(메뉴구조!$G$5:$G$300,MATCH($A50,메뉴구조!$A$5:$A$300,0))&amp;""</f>
        <v>회원가입 / 가입완료</v>
      </c>
      <c r="G50" s="18">
        <v>8</v>
      </c>
      <c r="H50" s="9" t="s">
        <v>670</v>
      </c>
      <c r="I50" s="9" t="s">
        <v>671</v>
      </c>
      <c r="J50" s="9" t="s">
        <v>672</v>
      </c>
      <c r="K50" s="18" t="s">
        <v>17</v>
      </c>
      <c r="L50" s="9"/>
      <c r="M50" s="9"/>
    </row>
    <row r="51" spans="1:13" ht="62.5" hidden="1">
      <c r="A51" s="18" t="s">
        <v>74</v>
      </c>
      <c r="B51" s="19" t="str">
        <f>INDEX(메뉴구조!$B$5:$B$300,MATCH($A51,메뉴구조!$A$5:$A$300,0))&amp;""</f>
        <v>회원가입</v>
      </c>
      <c r="C51" s="19" t="str">
        <f>INDEX(메뉴구조!$C$5:$C$300,MATCH($A51,메뉴구조!$A$5:$A$300,0))&amp;""</f>
        <v>가입완료</v>
      </c>
      <c r="D51" s="19" t="str">
        <f>INDEX(메뉴구조!$D$5:$D$300,MATCH($A51,메뉴구조!$A$5:$A$300,0))&amp;""</f>
        <v>—</v>
      </c>
      <c r="E51" s="19" t="str">
        <f>INDEX(메뉴구조!$E$5:$E$300,MATCH($A51,메뉴구조!$A$5:$A$300,0))&amp;""</f>
        <v>—</v>
      </c>
      <c r="F51" s="9" t="str">
        <f>INDEX(메뉴구조!$G$5:$G$300,MATCH($A51,메뉴구조!$A$5:$A$300,0))&amp;""</f>
        <v>회원가입 / 가입완료</v>
      </c>
      <c r="G51" s="18">
        <v>9</v>
      </c>
      <c r="H51" s="9" t="s">
        <v>673</v>
      </c>
      <c r="I51" s="9" t="s">
        <v>674</v>
      </c>
      <c r="J51" s="9"/>
      <c r="K51" s="18" t="s">
        <v>17</v>
      </c>
      <c r="L51" s="9"/>
      <c r="M51" s="9"/>
    </row>
    <row r="52" spans="1:13" ht="50" hidden="1">
      <c r="A52" s="18" t="s">
        <v>77</v>
      </c>
      <c r="B52" s="19" t="str">
        <f>INDEX(메뉴구조!$B$5:$B$300,MATCH($A52,메뉴구조!$A$5:$A$300,0))&amp;""</f>
        <v>회원가입</v>
      </c>
      <c r="C52" s="19" t="str">
        <f>INDEX(메뉴구조!$C$5:$C$300,MATCH($A52,메뉴구조!$A$5:$A$300,0))&amp;""</f>
        <v>로그인설정 (생체)</v>
      </c>
      <c r="D52" s="19" t="str">
        <f>INDEX(메뉴구조!$D$5:$D$300,MATCH($A52,메뉴구조!$A$5:$A$300,0))&amp;""</f>
        <v>—</v>
      </c>
      <c r="E52" s="19" t="str">
        <f>INDEX(메뉴구조!$E$5:$E$300,MATCH($A52,메뉴구조!$A$5:$A$300,0))&amp;""</f>
        <v>—</v>
      </c>
      <c r="F52" s="9" t="str">
        <f>INDEX(메뉴구조!$G$5:$G$300,MATCH($A52,메뉴구조!$A$5:$A$300,0))&amp;""</f>
        <v>회원가입 / 로그인설정 (생체)</v>
      </c>
      <c r="G52" s="18">
        <v>1</v>
      </c>
      <c r="H52" s="9" t="s">
        <v>675</v>
      </c>
      <c r="I52" s="9" t="s">
        <v>676</v>
      </c>
      <c r="J52" s="9"/>
      <c r="K52" s="18" t="s">
        <v>17</v>
      </c>
      <c r="L52" s="9"/>
      <c r="M52" s="9"/>
    </row>
    <row r="53" spans="1:13" ht="37.5" hidden="1">
      <c r="A53" s="18" t="s">
        <v>77</v>
      </c>
      <c r="B53" s="19" t="str">
        <f>INDEX(메뉴구조!$B$5:$B$300,MATCH($A53,메뉴구조!$A$5:$A$300,0))&amp;""</f>
        <v>회원가입</v>
      </c>
      <c r="C53" s="19" t="str">
        <f>INDEX(메뉴구조!$C$5:$C$300,MATCH($A53,메뉴구조!$A$5:$A$300,0))&amp;""</f>
        <v>로그인설정 (생체)</v>
      </c>
      <c r="D53" s="19" t="str">
        <f>INDEX(메뉴구조!$D$5:$D$300,MATCH($A53,메뉴구조!$A$5:$A$300,0))&amp;""</f>
        <v>—</v>
      </c>
      <c r="E53" s="19" t="str">
        <f>INDEX(메뉴구조!$E$5:$E$300,MATCH($A53,메뉴구조!$A$5:$A$300,0))&amp;""</f>
        <v>—</v>
      </c>
      <c r="F53" s="9" t="str">
        <f>INDEX(메뉴구조!$G$5:$G$300,MATCH($A53,메뉴구조!$A$5:$A$300,0))&amp;""</f>
        <v>회원가입 / 로그인설정 (생체)</v>
      </c>
      <c r="G53" s="18">
        <v>2</v>
      </c>
      <c r="H53" s="9" t="s">
        <v>677</v>
      </c>
      <c r="I53" s="9" t="s">
        <v>678</v>
      </c>
      <c r="J53" s="9"/>
      <c r="K53" s="18" t="s">
        <v>17</v>
      </c>
      <c r="L53" s="9"/>
      <c r="M53" s="9"/>
    </row>
    <row r="54" spans="1:13" ht="112.5" hidden="1">
      <c r="A54" s="18" t="s">
        <v>77</v>
      </c>
      <c r="B54" s="19" t="str">
        <f>INDEX(메뉴구조!$B$5:$B$300,MATCH($A54,메뉴구조!$A$5:$A$300,0))&amp;""</f>
        <v>회원가입</v>
      </c>
      <c r="C54" s="19" t="str">
        <f>INDEX(메뉴구조!$C$5:$C$300,MATCH($A54,메뉴구조!$A$5:$A$300,0))&amp;""</f>
        <v>로그인설정 (생체)</v>
      </c>
      <c r="D54" s="19" t="str">
        <f>INDEX(메뉴구조!$D$5:$D$300,MATCH($A54,메뉴구조!$A$5:$A$300,0))&amp;""</f>
        <v>—</v>
      </c>
      <c r="E54" s="19" t="str">
        <f>INDEX(메뉴구조!$E$5:$E$300,MATCH($A54,메뉴구조!$A$5:$A$300,0))&amp;""</f>
        <v>—</v>
      </c>
      <c r="F54" s="9" t="str">
        <f>INDEX(메뉴구조!$G$5:$G$300,MATCH($A54,메뉴구조!$A$5:$A$300,0))&amp;""</f>
        <v>회원가입 / 로그인설정 (생체)</v>
      </c>
      <c r="G54" s="18">
        <v>3</v>
      </c>
      <c r="H54" s="9" t="s">
        <v>679</v>
      </c>
      <c r="I54" s="9" t="s">
        <v>680</v>
      </c>
      <c r="J54" s="9"/>
      <c r="K54" s="18" t="s">
        <v>17</v>
      </c>
      <c r="L54" s="9"/>
      <c r="M54" s="9"/>
    </row>
    <row r="55" spans="1:13" ht="50" hidden="1">
      <c r="A55" s="18" t="s">
        <v>77</v>
      </c>
      <c r="B55" s="19" t="str">
        <f>INDEX(메뉴구조!$B$5:$B$300,MATCH($A55,메뉴구조!$A$5:$A$300,0))&amp;""</f>
        <v>회원가입</v>
      </c>
      <c r="C55" s="19" t="str">
        <f>INDEX(메뉴구조!$C$5:$C$300,MATCH($A55,메뉴구조!$A$5:$A$300,0))&amp;""</f>
        <v>로그인설정 (생체)</v>
      </c>
      <c r="D55" s="19" t="str">
        <f>INDEX(메뉴구조!$D$5:$D$300,MATCH($A55,메뉴구조!$A$5:$A$300,0))&amp;""</f>
        <v>—</v>
      </c>
      <c r="E55" s="19" t="str">
        <f>INDEX(메뉴구조!$E$5:$E$300,MATCH($A55,메뉴구조!$A$5:$A$300,0))&amp;""</f>
        <v>—</v>
      </c>
      <c r="F55" s="9" t="str">
        <f>INDEX(메뉴구조!$G$5:$G$300,MATCH($A55,메뉴구조!$A$5:$A$300,0))&amp;""</f>
        <v>회원가입 / 로그인설정 (생체)</v>
      </c>
      <c r="G55" s="18">
        <v>4</v>
      </c>
      <c r="H55" s="9" t="s">
        <v>681</v>
      </c>
      <c r="I55" s="9" t="s">
        <v>682</v>
      </c>
      <c r="J55" s="9" t="s">
        <v>683</v>
      </c>
      <c r="K55" s="18" t="s">
        <v>17</v>
      </c>
      <c r="L55" s="9"/>
      <c r="M55" s="9"/>
    </row>
    <row r="56" spans="1:13" ht="50" hidden="1">
      <c r="A56" s="18" t="s">
        <v>77</v>
      </c>
      <c r="B56" s="19" t="str">
        <f>INDEX(메뉴구조!$B$5:$B$300,MATCH($A56,메뉴구조!$A$5:$A$300,0))&amp;""</f>
        <v>회원가입</v>
      </c>
      <c r="C56" s="19" t="str">
        <f>INDEX(메뉴구조!$C$5:$C$300,MATCH($A56,메뉴구조!$A$5:$A$300,0))&amp;""</f>
        <v>로그인설정 (생체)</v>
      </c>
      <c r="D56" s="19" t="str">
        <f>INDEX(메뉴구조!$D$5:$D$300,MATCH($A56,메뉴구조!$A$5:$A$300,0))&amp;""</f>
        <v>—</v>
      </c>
      <c r="E56" s="19" t="str">
        <f>INDEX(메뉴구조!$E$5:$E$300,MATCH($A56,메뉴구조!$A$5:$A$300,0))&amp;""</f>
        <v>—</v>
      </c>
      <c r="F56" s="9" t="str">
        <f>INDEX(메뉴구조!$G$5:$G$300,MATCH($A56,메뉴구조!$A$5:$A$300,0))&amp;""</f>
        <v>회원가입 / 로그인설정 (생체)</v>
      </c>
      <c r="G56" s="18">
        <v>5</v>
      </c>
      <c r="H56" s="9" t="s">
        <v>613</v>
      </c>
      <c r="I56" s="9" t="s">
        <v>684</v>
      </c>
      <c r="J56" s="9"/>
      <c r="K56" s="18" t="s">
        <v>17</v>
      </c>
      <c r="L56" s="9"/>
      <c r="M56" s="9"/>
    </row>
    <row r="57" spans="1:13" ht="87.5" hidden="1">
      <c r="A57" s="18" t="s">
        <v>77</v>
      </c>
      <c r="B57" s="19" t="str">
        <f>INDEX(메뉴구조!$B$5:$B$300,MATCH($A57,메뉴구조!$A$5:$A$300,0))&amp;""</f>
        <v>회원가입</v>
      </c>
      <c r="C57" s="19" t="str">
        <f>INDEX(메뉴구조!$C$5:$C$300,MATCH($A57,메뉴구조!$A$5:$A$300,0))&amp;""</f>
        <v>로그인설정 (생체)</v>
      </c>
      <c r="D57" s="19" t="str">
        <f>INDEX(메뉴구조!$D$5:$D$300,MATCH($A57,메뉴구조!$A$5:$A$300,0))&amp;""</f>
        <v>—</v>
      </c>
      <c r="E57" s="19" t="str">
        <f>INDEX(메뉴구조!$E$5:$E$300,MATCH($A57,메뉴구조!$A$5:$A$300,0))&amp;""</f>
        <v>—</v>
      </c>
      <c r="F57" s="9" t="str">
        <f>INDEX(메뉴구조!$G$5:$G$300,MATCH($A57,메뉴구조!$A$5:$A$300,0))&amp;""</f>
        <v>회원가입 / 로그인설정 (생체)</v>
      </c>
      <c r="G57" s="18">
        <v>6</v>
      </c>
      <c r="H57" s="9" t="s">
        <v>605</v>
      </c>
      <c r="I57" s="9" t="s">
        <v>685</v>
      </c>
      <c r="J57" s="9"/>
      <c r="K57" s="18" t="s">
        <v>17</v>
      </c>
      <c r="L57" s="9"/>
      <c r="M57" s="9"/>
    </row>
    <row r="58" spans="1:13" ht="37.5" hidden="1">
      <c r="A58" s="18" t="s">
        <v>78</v>
      </c>
      <c r="B58" s="19" t="str">
        <f>INDEX(메뉴구조!$B$5:$B$300,MATCH($A58,메뉴구조!$A$5:$A$300,0))&amp;""</f>
        <v>로그인</v>
      </c>
      <c r="C58" s="19" t="str">
        <f>INDEX(메뉴구조!$C$5:$C$300,MATCH($A58,메뉴구조!$A$5:$A$300,0))&amp;""</f>
        <v>로그인</v>
      </c>
      <c r="D58" s="19" t="str">
        <f>INDEX(메뉴구조!$D$5:$D$300,MATCH($A58,메뉴구조!$A$5:$A$300,0))&amp;""</f>
        <v>—</v>
      </c>
      <c r="E58" s="19" t="str">
        <f>INDEX(메뉴구조!$E$5:$E$300,MATCH($A58,메뉴구조!$A$5:$A$300,0))&amp;""</f>
        <v>—</v>
      </c>
      <c r="F58" s="9" t="str">
        <f>INDEX(메뉴구조!$G$5:$G$300,MATCH($A58,메뉴구조!$A$5:$A$300,0))&amp;""</f>
        <v>로그인 / 로그인</v>
      </c>
      <c r="G58" s="18">
        <v>1</v>
      </c>
      <c r="H58" s="9" t="s">
        <v>589</v>
      </c>
      <c r="I58" s="9" t="s">
        <v>686</v>
      </c>
      <c r="J58" s="9"/>
      <c r="K58" s="18" t="s">
        <v>17</v>
      </c>
      <c r="L58" s="9"/>
      <c r="M58" s="9"/>
    </row>
    <row r="59" spans="1:13" ht="50" hidden="1">
      <c r="A59" s="18" t="s">
        <v>78</v>
      </c>
      <c r="B59" s="19" t="str">
        <f>INDEX(메뉴구조!$B$5:$B$300,MATCH($A59,메뉴구조!$A$5:$A$300,0))&amp;""</f>
        <v>로그인</v>
      </c>
      <c r="C59" s="19" t="str">
        <f>INDEX(메뉴구조!$C$5:$C$300,MATCH($A59,메뉴구조!$A$5:$A$300,0))&amp;""</f>
        <v>로그인</v>
      </c>
      <c r="D59" s="19" t="str">
        <f>INDEX(메뉴구조!$D$5:$D$300,MATCH($A59,메뉴구조!$A$5:$A$300,0))&amp;""</f>
        <v>—</v>
      </c>
      <c r="E59" s="19" t="str">
        <f>INDEX(메뉴구조!$E$5:$E$300,MATCH($A59,메뉴구조!$A$5:$A$300,0))&amp;""</f>
        <v>—</v>
      </c>
      <c r="F59" s="9" t="str">
        <f>INDEX(메뉴구조!$G$5:$G$300,MATCH($A59,메뉴구조!$A$5:$A$300,0))&amp;""</f>
        <v>로그인 / 로그인</v>
      </c>
      <c r="G59" s="18">
        <v>2</v>
      </c>
      <c r="H59" s="9" t="s">
        <v>687</v>
      </c>
      <c r="I59" s="9" t="s">
        <v>688</v>
      </c>
      <c r="J59" s="9"/>
      <c r="K59" s="18" t="s">
        <v>17</v>
      </c>
      <c r="L59" s="9"/>
      <c r="M59" s="9"/>
    </row>
    <row r="60" spans="1:13" ht="50" hidden="1">
      <c r="A60" s="18" t="s">
        <v>78</v>
      </c>
      <c r="B60" s="19" t="str">
        <f>INDEX(메뉴구조!$B$5:$B$300,MATCH($A60,메뉴구조!$A$5:$A$300,0))&amp;""</f>
        <v>로그인</v>
      </c>
      <c r="C60" s="19" t="str">
        <f>INDEX(메뉴구조!$C$5:$C$300,MATCH($A60,메뉴구조!$A$5:$A$300,0))&amp;""</f>
        <v>로그인</v>
      </c>
      <c r="D60" s="19" t="str">
        <f>INDEX(메뉴구조!$D$5:$D$300,MATCH($A60,메뉴구조!$A$5:$A$300,0))&amp;""</f>
        <v>—</v>
      </c>
      <c r="E60" s="19" t="str">
        <f>INDEX(메뉴구조!$E$5:$E$300,MATCH($A60,메뉴구조!$A$5:$A$300,0))&amp;""</f>
        <v>—</v>
      </c>
      <c r="F60" s="9" t="str">
        <f>INDEX(메뉴구조!$G$5:$G$300,MATCH($A60,메뉴구조!$A$5:$A$300,0))&amp;""</f>
        <v>로그인 / 로그인</v>
      </c>
      <c r="G60" s="18">
        <v>3</v>
      </c>
      <c r="H60" s="9" t="s">
        <v>689</v>
      </c>
      <c r="I60" s="9" t="s">
        <v>690</v>
      </c>
      <c r="J60" s="9"/>
      <c r="K60" s="18" t="s">
        <v>17</v>
      </c>
      <c r="L60" s="9"/>
      <c r="M60" s="9"/>
    </row>
    <row r="61" spans="1:13" ht="50" hidden="1">
      <c r="A61" s="18" t="s">
        <v>78</v>
      </c>
      <c r="B61" s="19" t="str">
        <f>INDEX(메뉴구조!$B$5:$B$300,MATCH($A61,메뉴구조!$A$5:$A$300,0))&amp;""</f>
        <v>로그인</v>
      </c>
      <c r="C61" s="19" t="str">
        <f>INDEX(메뉴구조!$C$5:$C$300,MATCH($A61,메뉴구조!$A$5:$A$300,0))&amp;""</f>
        <v>로그인</v>
      </c>
      <c r="D61" s="19" t="str">
        <f>INDEX(메뉴구조!$D$5:$D$300,MATCH($A61,메뉴구조!$A$5:$A$300,0))&amp;""</f>
        <v>—</v>
      </c>
      <c r="E61" s="19" t="str">
        <f>INDEX(메뉴구조!$E$5:$E$300,MATCH($A61,메뉴구조!$A$5:$A$300,0))&amp;""</f>
        <v>—</v>
      </c>
      <c r="F61" s="9" t="str">
        <f>INDEX(메뉴구조!$G$5:$G$300,MATCH($A61,메뉴구조!$A$5:$A$300,0))&amp;""</f>
        <v>로그인 / 로그인</v>
      </c>
      <c r="G61" s="18">
        <v>4</v>
      </c>
      <c r="H61" s="9" t="s">
        <v>691</v>
      </c>
      <c r="I61" s="9" t="s">
        <v>692</v>
      </c>
      <c r="J61" s="9"/>
      <c r="K61" s="18" t="s">
        <v>17</v>
      </c>
      <c r="L61" s="9"/>
      <c r="M61" s="9"/>
    </row>
    <row r="62" spans="1:13" ht="50" hidden="1">
      <c r="A62" s="18" t="s">
        <v>78</v>
      </c>
      <c r="B62" s="19" t="str">
        <f>INDEX(메뉴구조!$B$5:$B$300,MATCH($A62,메뉴구조!$A$5:$A$300,0))&amp;""</f>
        <v>로그인</v>
      </c>
      <c r="C62" s="19" t="str">
        <f>INDEX(메뉴구조!$C$5:$C$300,MATCH($A62,메뉴구조!$A$5:$A$300,0))&amp;""</f>
        <v>로그인</v>
      </c>
      <c r="D62" s="19" t="str">
        <f>INDEX(메뉴구조!$D$5:$D$300,MATCH($A62,메뉴구조!$A$5:$A$300,0))&amp;""</f>
        <v>—</v>
      </c>
      <c r="E62" s="19" t="str">
        <f>INDEX(메뉴구조!$E$5:$E$300,MATCH($A62,메뉴구조!$A$5:$A$300,0))&amp;""</f>
        <v>—</v>
      </c>
      <c r="F62" s="9" t="str">
        <f>INDEX(메뉴구조!$G$5:$G$300,MATCH($A62,메뉴구조!$A$5:$A$300,0))&amp;""</f>
        <v>로그인 / 로그인</v>
      </c>
      <c r="G62" s="18">
        <v>5</v>
      </c>
      <c r="H62" s="9" t="s">
        <v>693</v>
      </c>
      <c r="I62" s="9" t="s">
        <v>694</v>
      </c>
      <c r="J62" s="9"/>
      <c r="K62" s="18" t="s">
        <v>17</v>
      </c>
      <c r="L62" s="9"/>
      <c r="M62" s="9"/>
    </row>
    <row r="63" spans="1:13" ht="62.5" hidden="1">
      <c r="A63" s="18" t="s">
        <v>78</v>
      </c>
      <c r="B63" s="19" t="str">
        <f>INDEX(메뉴구조!$B$5:$B$300,MATCH($A63,메뉴구조!$A$5:$A$300,0))&amp;""</f>
        <v>로그인</v>
      </c>
      <c r="C63" s="19" t="str">
        <f>INDEX(메뉴구조!$C$5:$C$300,MATCH($A63,메뉴구조!$A$5:$A$300,0))&amp;""</f>
        <v>로그인</v>
      </c>
      <c r="D63" s="19" t="str">
        <f>INDEX(메뉴구조!$D$5:$D$300,MATCH($A63,메뉴구조!$A$5:$A$300,0))&amp;""</f>
        <v>—</v>
      </c>
      <c r="E63" s="19" t="str">
        <f>INDEX(메뉴구조!$E$5:$E$300,MATCH($A63,메뉴구조!$A$5:$A$300,0))&amp;""</f>
        <v>—</v>
      </c>
      <c r="F63" s="9" t="str">
        <f>INDEX(메뉴구조!$G$5:$G$300,MATCH($A63,메뉴구조!$A$5:$A$300,0))&amp;""</f>
        <v>로그인 / 로그인</v>
      </c>
      <c r="G63" s="18">
        <v>6</v>
      </c>
      <c r="H63" s="9" t="s">
        <v>695</v>
      </c>
      <c r="I63" s="9" t="s">
        <v>696</v>
      </c>
      <c r="J63" s="9" t="s">
        <v>697</v>
      </c>
      <c r="K63" s="18" t="s">
        <v>17</v>
      </c>
      <c r="L63" s="9"/>
      <c r="M63" s="9"/>
    </row>
    <row r="64" spans="1:13" ht="75" hidden="1">
      <c r="A64" s="18" t="s">
        <v>78</v>
      </c>
      <c r="B64" s="19" t="str">
        <f>INDEX(메뉴구조!$B$5:$B$300,MATCH($A64,메뉴구조!$A$5:$A$300,0))&amp;""</f>
        <v>로그인</v>
      </c>
      <c r="C64" s="19" t="str">
        <f>INDEX(메뉴구조!$C$5:$C$300,MATCH($A64,메뉴구조!$A$5:$A$300,0))&amp;""</f>
        <v>로그인</v>
      </c>
      <c r="D64" s="19" t="str">
        <f>INDEX(메뉴구조!$D$5:$D$300,MATCH($A64,메뉴구조!$A$5:$A$300,0))&amp;""</f>
        <v>—</v>
      </c>
      <c r="E64" s="19" t="str">
        <f>INDEX(메뉴구조!$E$5:$E$300,MATCH($A64,메뉴구조!$A$5:$A$300,0))&amp;""</f>
        <v>—</v>
      </c>
      <c r="F64" s="9" t="str">
        <f>INDEX(메뉴구조!$G$5:$G$300,MATCH($A64,메뉴구조!$A$5:$A$300,0))&amp;""</f>
        <v>로그인 / 로그인</v>
      </c>
      <c r="G64" s="18">
        <v>7</v>
      </c>
      <c r="H64" s="9" t="s">
        <v>698</v>
      </c>
      <c r="I64" s="9" t="s">
        <v>699</v>
      </c>
      <c r="J64" s="9" t="s">
        <v>700</v>
      </c>
      <c r="K64" s="18" t="s">
        <v>17</v>
      </c>
      <c r="L64" s="9"/>
      <c r="M64" s="9"/>
    </row>
    <row r="65" spans="1:13" ht="50" hidden="1">
      <c r="A65" s="18" t="s">
        <v>80</v>
      </c>
      <c r="B65" s="19" t="str">
        <f>INDEX(메뉴구조!$B$5:$B$300,MATCH($A65,메뉴구조!$A$5:$A$300,0))&amp;""</f>
        <v>로그인</v>
      </c>
      <c r="C65" s="19" t="str">
        <f>INDEX(메뉴구조!$C$5:$C$300,MATCH($A65,메뉴구조!$A$5:$A$300,0))&amp;""</f>
        <v>다른방법으로로그인</v>
      </c>
      <c r="D65" s="19" t="str">
        <f>INDEX(메뉴구조!$D$5:$D$300,MATCH($A65,메뉴구조!$A$5:$A$300,0))&amp;""</f>
        <v>—</v>
      </c>
      <c r="E65" s="19" t="str">
        <f>INDEX(메뉴구조!$E$5:$E$300,MATCH($A65,메뉴구조!$A$5:$A$300,0))&amp;""</f>
        <v>—</v>
      </c>
      <c r="F65" s="9" t="str">
        <f>INDEX(메뉴구조!$G$5:$G$300,MATCH($A65,메뉴구조!$A$5:$A$300,0))&amp;""</f>
        <v>로그인 / 다른방법으로로그인</v>
      </c>
      <c r="G65" s="18">
        <v>1</v>
      </c>
      <c r="H65" s="9" t="s">
        <v>701</v>
      </c>
      <c r="I65" s="9" t="s">
        <v>702</v>
      </c>
      <c r="J65" s="9"/>
      <c r="K65" s="18" t="s">
        <v>17</v>
      </c>
      <c r="L65" s="9"/>
      <c r="M65" s="9"/>
    </row>
    <row r="66" spans="1:13" ht="25" hidden="1">
      <c r="A66" s="18" t="s">
        <v>80</v>
      </c>
      <c r="B66" s="19" t="str">
        <f>INDEX(메뉴구조!$B$5:$B$300,MATCH($A66,메뉴구조!$A$5:$A$300,0))&amp;""</f>
        <v>로그인</v>
      </c>
      <c r="C66" s="19" t="str">
        <f>INDEX(메뉴구조!$C$5:$C$300,MATCH($A66,메뉴구조!$A$5:$A$300,0))&amp;""</f>
        <v>다른방법으로로그인</v>
      </c>
      <c r="D66" s="19" t="str">
        <f>INDEX(메뉴구조!$D$5:$D$300,MATCH($A66,메뉴구조!$A$5:$A$300,0))&amp;""</f>
        <v>—</v>
      </c>
      <c r="E66" s="19" t="str">
        <f>INDEX(메뉴구조!$E$5:$E$300,MATCH($A66,메뉴구조!$A$5:$A$300,0))&amp;""</f>
        <v>—</v>
      </c>
      <c r="F66" s="9" t="str">
        <f>INDEX(메뉴구조!$G$5:$G$300,MATCH($A66,메뉴구조!$A$5:$A$300,0))&amp;""</f>
        <v>로그인 / 다른방법으로로그인</v>
      </c>
      <c r="G66" s="18">
        <v>2</v>
      </c>
      <c r="H66" s="9" t="s">
        <v>703</v>
      </c>
      <c r="I66" s="9" t="s">
        <v>704</v>
      </c>
      <c r="J66" s="9"/>
      <c r="K66" s="18" t="s">
        <v>17</v>
      </c>
      <c r="L66" s="9"/>
      <c r="M66" s="9"/>
    </row>
    <row r="67" spans="1:13" ht="25" hidden="1">
      <c r="A67" s="18" t="s">
        <v>80</v>
      </c>
      <c r="B67" s="19" t="str">
        <f>INDEX(메뉴구조!$B$5:$B$300,MATCH($A67,메뉴구조!$A$5:$A$300,0))&amp;""</f>
        <v>로그인</v>
      </c>
      <c r="C67" s="19" t="str">
        <f>INDEX(메뉴구조!$C$5:$C$300,MATCH($A67,메뉴구조!$A$5:$A$300,0))&amp;""</f>
        <v>다른방법으로로그인</v>
      </c>
      <c r="D67" s="19" t="str">
        <f>INDEX(메뉴구조!$D$5:$D$300,MATCH($A67,메뉴구조!$A$5:$A$300,0))&amp;""</f>
        <v>—</v>
      </c>
      <c r="E67" s="19" t="str">
        <f>INDEX(메뉴구조!$E$5:$E$300,MATCH($A67,메뉴구조!$A$5:$A$300,0))&amp;""</f>
        <v>—</v>
      </c>
      <c r="F67" s="9" t="str">
        <f>INDEX(메뉴구조!$G$5:$G$300,MATCH($A67,메뉴구조!$A$5:$A$300,0))&amp;""</f>
        <v>로그인 / 다른방법으로로그인</v>
      </c>
      <c r="G67" s="18">
        <v>3</v>
      </c>
      <c r="H67" s="9" t="s">
        <v>589</v>
      </c>
      <c r="I67" s="9" t="s">
        <v>705</v>
      </c>
      <c r="J67" s="9"/>
      <c r="K67" s="18" t="s">
        <v>17</v>
      </c>
      <c r="L67" s="9"/>
      <c r="M67" s="9"/>
    </row>
    <row r="68" spans="1:13" ht="50" hidden="1">
      <c r="A68" s="18" t="s">
        <v>80</v>
      </c>
      <c r="B68" s="19" t="str">
        <f>INDEX(메뉴구조!$B$5:$B$300,MATCH($A68,메뉴구조!$A$5:$A$300,0))&amp;""</f>
        <v>로그인</v>
      </c>
      <c r="C68" s="19" t="str">
        <f>INDEX(메뉴구조!$C$5:$C$300,MATCH($A68,메뉴구조!$A$5:$A$300,0))&amp;""</f>
        <v>다른방법으로로그인</v>
      </c>
      <c r="D68" s="19" t="str">
        <f>INDEX(메뉴구조!$D$5:$D$300,MATCH($A68,메뉴구조!$A$5:$A$300,0))&amp;""</f>
        <v>—</v>
      </c>
      <c r="E68" s="19" t="str">
        <f>INDEX(메뉴구조!$E$5:$E$300,MATCH($A68,메뉴구조!$A$5:$A$300,0))&amp;""</f>
        <v>—</v>
      </c>
      <c r="F68" s="9" t="str">
        <f>INDEX(메뉴구조!$G$5:$G$300,MATCH($A68,메뉴구조!$A$5:$A$300,0))&amp;""</f>
        <v>로그인 / 다른방법으로로그인</v>
      </c>
      <c r="G68" s="18">
        <v>4</v>
      </c>
      <c r="H68" s="9" t="s">
        <v>706</v>
      </c>
      <c r="I68" s="9" t="s">
        <v>707</v>
      </c>
      <c r="J68" s="9" t="s">
        <v>708</v>
      </c>
      <c r="K68" s="18" t="s">
        <v>17</v>
      </c>
      <c r="L68" s="9"/>
      <c r="M68" s="9"/>
    </row>
    <row r="69" spans="1:13" ht="75" hidden="1">
      <c r="A69" s="18" t="s">
        <v>80</v>
      </c>
      <c r="B69" s="19" t="str">
        <f>INDEX(메뉴구조!$B$5:$B$300,MATCH($A69,메뉴구조!$A$5:$A$300,0))&amp;""</f>
        <v>로그인</v>
      </c>
      <c r="C69" s="19" t="str">
        <f>INDEX(메뉴구조!$C$5:$C$300,MATCH($A69,메뉴구조!$A$5:$A$300,0))&amp;""</f>
        <v>다른방법으로로그인</v>
      </c>
      <c r="D69" s="19" t="str">
        <f>INDEX(메뉴구조!$D$5:$D$300,MATCH($A69,메뉴구조!$A$5:$A$300,0))&amp;""</f>
        <v>—</v>
      </c>
      <c r="E69" s="19" t="str">
        <f>INDEX(메뉴구조!$E$5:$E$300,MATCH($A69,메뉴구조!$A$5:$A$300,0))&amp;""</f>
        <v>—</v>
      </c>
      <c r="F69" s="9" t="str">
        <f>INDEX(메뉴구조!$G$5:$G$300,MATCH($A69,메뉴구조!$A$5:$A$300,0))&amp;""</f>
        <v>로그인 / 다른방법으로로그인</v>
      </c>
      <c r="G69" s="18">
        <v>5</v>
      </c>
      <c r="H69" s="9" t="s">
        <v>709</v>
      </c>
      <c r="I69" s="9" t="s">
        <v>710</v>
      </c>
      <c r="J69" s="9" t="s">
        <v>711</v>
      </c>
      <c r="K69" s="18" t="s">
        <v>17</v>
      </c>
      <c r="L69" s="9"/>
      <c r="M69" s="9"/>
    </row>
    <row r="70" spans="1:13" ht="62.5" hidden="1">
      <c r="A70" s="18" t="s">
        <v>82</v>
      </c>
      <c r="B70" s="19" t="str">
        <f>INDEX(메뉴구조!$B$5:$B$300,MATCH($A70,메뉴구조!$A$5:$A$300,0))&amp;""</f>
        <v>홈</v>
      </c>
      <c r="C70" s="19" t="str">
        <f>INDEX(메뉴구조!$C$5:$C$300,MATCH($A70,메뉴구조!$A$5:$A$300,0))&amp;""</f>
        <v>—</v>
      </c>
      <c r="D70" s="19" t="str">
        <f>INDEX(메뉴구조!$D$5:$D$300,MATCH($A70,메뉴구조!$A$5:$A$300,0))&amp;""</f>
        <v>—</v>
      </c>
      <c r="E70" s="19" t="str">
        <f>INDEX(메뉴구조!$E$5:$E$300,MATCH($A70,메뉴구조!$A$5:$A$300,0))&amp;""</f>
        <v>—</v>
      </c>
      <c r="F70" s="9" t="str">
        <f>INDEX(메뉴구조!$G$5:$G$300,MATCH($A70,메뉴구조!$A$5:$A$300,0))&amp;""</f>
        <v>홈</v>
      </c>
      <c r="G70" s="18">
        <v>1</v>
      </c>
      <c r="H70" s="9" t="s">
        <v>712</v>
      </c>
      <c r="I70" s="9" t="s">
        <v>713</v>
      </c>
      <c r="J70" s="9"/>
      <c r="K70" s="18" t="s">
        <v>17</v>
      </c>
      <c r="L70" s="9"/>
      <c r="M70" s="9"/>
    </row>
    <row r="71" spans="1:13" ht="62.5" hidden="1">
      <c r="A71" s="18" t="s">
        <v>82</v>
      </c>
      <c r="B71" s="19" t="str">
        <f>INDEX(메뉴구조!$B$5:$B$300,MATCH($A71,메뉴구조!$A$5:$A$300,0))&amp;""</f>
        <v>홈</v>
      </c>
      <c r="C71" s="19" t="str">
        <f>INDEX(메뉴구조!$C$5:$C$300,MATCH($A71,메뉴구조!$A$5:$A$300,0))&amp;""</f>
        <v>—</v>
      </c>
      <c r="D71" s="19" t="str">
        <f>INDEX(메뉴구조!$D$5:$D$300,MATCH($A71,메뉴구조!$A$5:$A$300,0))&amp;""</f>
        <v>—</v>
      </c>
      <c r="E71" s="19" t="str">
        <f>INDEX(메뉴구조!$E$5:$E$300,MATCH($A71,메뉴구조!$A$5:$A$300,0))&amp;""</f>
        <v>—</v>
      </c>
      <c r="F71" s="9" t="str">
        <f>INDEX(메뉴구조!$G$5:$G$300,MATCH($A71,메뉴구조!$A$5:$A$300,0))&amp;""</f>
        <v>홈</v>
      </c>
      <c r="G71" s="18">
        <v>2</v>
      </c>
      <c r="H71" s="9" t="s">
        <v>714</v>
      </c>
      <c r="I71" s="9" t="s">
        <v>715</v>
      </c>
      <c r="J71" s="9"/>
      <c r="K71" s="18" t="s">
        <v>17</v>
      </c>
      <c r="L71" s="9"/>
      <c r="M71" s="9"/>
    </row>
    <row r="72" spans="1:13" ht="37.5" hidden="1">
      <c r="A72" s="18" t="s">
        <v>82</v>
      </c>
      <c r="B72" s="19" t="str">
        <f>INDEX(메뉴구조!$B$5:$B$300,MATCH($A72,메뉴구조!$A$5:$A$300,0))&amp;""</f>
        <v>홈</v>
      </c>
      <c r="C72" s="19" t="str">
        <f>INDEX(메뉴구조!$C$5:$C$300,MATCH($A72,메뉴구조!$A$5:$A$300,0))&amp;""</f>
        <v>—</v>
      </c>
      <c r="D72" s="19" t="str">
        <f>INDEX(메뉴구조!$D$5:$D$300,MATCH($A72,메뉴구조!$A$5:$A$300,0))&amp;""</f>
        <v>—</v>
      </c>
      <c r="E72" s="19" t="str">
        <f>INDEX(메뉴구조!$E$5:$E$300,MATCH($A72,메뉴구조!$A$5:$A$300,0))&amp;""</f>
        <v>—</v>
      </c>
      <c r="F72" s="9" t="str">
        <f>INDEX(메뉴구조!$G$5:$G$300,MATCH($A72,메뉴구조!$A$5:$A$300,0))&amp;""</f>
        <v>홈</v>
      </c>
      <c r="G72" s="18">
        <v>3</v>
      </c>
      <c r="H72" s="9" t="s">
        <v>716</v>
      </c>
      <c r="I72" s="9" t="s">
        <v>717</v>
      </c>
      <c r="J72" s="9"/>
      <c r="K72" s="18" t="s">
        <v>17</v>
      </c>
      <c r="L72" s="9"/>
      <c r="M72" s="9"/>
    </row>
    <row r="73" spans="1:13" ht="125" hidden="1">
      <c r="A73" s="18" t="s">
        <v>82</v>
      </c>
      <c r="B73" s="19" t="str">
        <f>INDEX(메뉴구조!$B$5:$B$300,MATCH($A73,메뉴구조!$A$5:$A$300,0))&amp;""</f>
        <v>홈</v>
      </c>
      <c r="C73" s="19" t="str">
        <f>INDEX(메뉴구조!$C$5:$C$300,MATCH($A73,메뉴구조!$A$5:$A$300,0))&amp;""</f>
        <v>—</v>
      </c>
      <c r="D73" s="19" t="str">
        <f>INDEX(메뉴구조!$D$5:$D$300,MATCH($A73,메뉴구조!$A$5:$A$300,0))&amp;""</f>
        <v>—</v>
      </c>
      <c r="E73" s="19" t="str">
        <f>INDEX(메뉴구조!$E$5:$E$300,MATCH($A73,메뉴구조!$A$5:$A$300,0))&amp;""</f>
        <v>—</v>
      </c>
      <c r="F73" s="9" t="str">
        <f>INDEX(메뉴구조!$G$5:$G$300,MATCH($A73,메뉴구조!$A$5:$A$300,0))&amp;""</f>
        <v>홈</v>
      </c>
      <c r="G73" s="18">
        <v>4</v>
      </c>
      <c r="H73" s="9" t="s">
        <v>718</v>
      </c>
      <c r="I73" s="9" t="s">
        <v>719</v>
      </c>
      <c r="J73" s="9"/>
      <c r="K73" s="18" t="s">
        <v>17</v>
      </c>
      <c r="L73" s="9"/>
      <c r="M73" s="9"/>
    </row>
    <row r="74" spans="1:13" ht="112.5" hidden="1">
      <c r="A74" s="18" t="s">
        <v>82</v>
      </c>
      <c r="B74" s="19" t="str">
        <f>INDEX(메뉴구조!$B$5:$B$300,MATCH($A74,메뉴구조!$A$5:$A$300,0))&amp;""</f>
        <v>홈</v>
      </c>
      <c r="C74" s="19" t="str">
        <f>INDEX(메뉴구조!$C$5:$C$300,MATCH($A74,메뉴구조!$A$5:$A$300,0))&amp;""</f>
        <v>—</v>
      </c>
      <c r="D74" s="19" t="str">
        <f>INDEX(메뉴구조!$D$5:$D$300,MATCH($A74,메뉴구조!$A$5:$A$300,0))&amp;""</f>
        <v>—</v>
      </c>
      <c r="E74" s="19" t="str">
        <f>INDEX(메뉴구조!$E$5:$E$300,MATCH($A74,메뉴구조!$A$5:$A$300,0))&amp;""</f>
        <v>—</v>
      </c>
      <c r="F74" s="9" t="str">
        <f>INDEX(메뉴구조!$G$5:$G$300,MATCH($A74,메뉴구조!$A$5:$A$300,0))&amp;""</f>
        <v>홈</v>
      </c>
      <c r="G74" s="18">
        <v>5</v>
      </c>
      <c r="H74" s="31" t="s">
        <v>720</v>
      </c>
      <c r="I74" s="31" t="s">
        <v>721</v>
      </c>
      <c r="J74" s="9"/>
      <c r="K74" s="20" t="s">
        <v>9</v>
      </c>
      <c r="L74" s="9" t="s">
        <v>722</v>
      </c>
      <c r="M74" s="9" t="s">
        <v>723</v>
      </c>
    </row>
    <row r="75" spans="1:13" ht="50" hidden="1">
      <c r="A75" s="18" t="s">
        <v>82</v>
      </c>
      <c r="B75" s="19" t="str">
        <f>INDEX(메뉴구조!$B$5:$B$300,MATCH($A75,메뉴구조!$A$5:$A$300,0))&amp;""</f>
        <v>홈</v>
      </c>
      <c r="C75" s="19" t="str">
        <f>INDEX(메뉴구조!$C$5:$C$300,MATCH($A75,메뉴구조!$A$5:$A$300,0))&amp;""</f>
        <v>—</v>
      </c>
      <c r="D75" s="19" t="str">
        <f>INDEX(메뉴구조!$D$5:$D$300,MATCH($A75,메뉴구조!$A$5:$A$300,0))&amp;""</f>
        <v>—</v>
      </c>
      <c r="E75" s="19" t="str">
        <f>INDEX(메뉴구조!$E$5:$E$300,MATCH($A75,메뉴구조!$A$5:$A$300,0))&amp;""</f>
        <v>—</v>
      </c>
      <c r="F75" s="9" t="str">
        <f>INDEX(메뉴구조!$G$5:$G$300,MATCH($A75,메뉴구조!$A$5:$A$300,0))&amp;""</f>
        <v>홈</v>
      </c>
      <c r="G75" s="18">
        <v>6</v>
      </c>
      <c r="H75" s="9" t="s">
        <v>724</v>
      </c>
      <c r="I75" s="9" t="s">
        <v>725</v>
      </c>
      <c r="J75" s="9"/>
      <c r="K75" s="18" t="s">
        <v>17</v>
      </c>
      <c r="L75" s="9"/>
      <c r="M75" s="9"/>
    </row>
    <row r="76" spans="1:13" ht="50" hidden="1">
      <c r="A76" s="18" t="s">
        <v>82</v>
      </c>
      <c r="B76" s="19" t="str">
        <f>INDEX(메뉴구조!$B$5:$B$300,MATCH($A76,메뉴구조!$A$5:$A$300,0))&amp;""</f>
        <v>홈</v>
      </c>
      <c r="C76" s="19" t="str">
        <f>INDEX(메뉴구조!$C$5:$C$300,MATCH($A76,메뉴구조!$A$5:$A$300,0))&amp;""</f>
        <v>—</v>
      </c>
      <c r="D76" s="19" t="str">
        <f>INDEX(메뉴구조!$D$5:$D$300,MATCH($A76,메뉴구조!$A$5:$A$300,0))&amp;""</f>
        <v>—</v>
      </c>
      <c r="E76" s="19" t="str">
        <f>INDEX(메뉴구조!$E$5:$E$300,MATCH($A76,메뉴구조!$A$5:$A$300,0))&amp;""</f>
        <v>—</v>
      </c>
      <c r="F76" s="9" t="str">
        <f>INDEX(메뉴구조!$G$5:$G$300,MATCH($A76,메뉴구조!$A$5:$A$300,0))&amp;""</f>
        <v>홈</v>
      </c>
      <c r="G76" s="18">
        <v>7</v>
      </c>
      <c r="H76" s="31" t="s">
        <v>508</v>
      </c>
      <c r="I76" s="31" t="s">
        <v>726</v>
      </c>
      <c r="J76" s="9"/>
      <c r="K76" s="20" t="s">
        <v>9</v>
      </c>
      <c r="L76" s="9" t="s">
        <v>727</v>
      </c>
      <c r="M76" s="9" t="s">
        <v>726</v>
      </c>
    </row>
    <row r="77" spans="1:13" ht="25" hidden="1">
      <c r="A77" s="18" t="s">
        <v>82</v>
      </c>
      <c r="B77" s="19" t="str">
        <f>INDEX(메뉴구조!$B$5:$B$300,MATCH($A77,메뉴구조!$A$5:$A$300,0))&amp;""</f>
        <v>홈</v>
      </c>
      <c r="C77" s="19" t="str">
        <f>INDEX(메뉴구조!$C$5:$C$300,MATCH($A77,메뉴구조!$A$5:$A$300,0))&amp;""</f>
        <v>—</v>
      </c>
      <c r="D77" s="19" t="str">
        <f>INDEX(메뉴구조!$D$5:$D$300,MATCH($A77,메뉴구조!$A$5:$A$300,0))&amp;""</f>
        <v>—</v>
      </c>
      <c r="E77" s="19" t="str">
        <f>INDEX(메뉴구조!$E$5:$E$300,MATCH($A77,메뉴구조!$A$5:$A$300,0))&amp;""</f>
        <v>—</v>
      </c>
      <c r="F77" s="9" t="str">
        <f>INDEX(메뉴구조!$G$5:$G$300,MATCH($A77,메뉴구조!$A$5:$A$300,0))&amp;""</f>
        <v>홈</v>
      </c>
      <c r="G77" s="18">
        <v>8</v>
      </c>
      <c r="H77" s="9" t="s">
        <v>728</v>
      </c>
      <c r="I77" s="9" t="s">
        <v>729</v>
      </c>
      <c r="J77" s="9"/>
      <c r="K77" s="18" t="s">
        <v>17</v>
      </c>
      <c r="L77" s="9"/>
      <c r="M77" s="9"/>
    </row>
    <row r="78" spans="1:13" ht="75" hidden="1">
      <c r="A78" s="18" t="s">
        <v>82</v>
      </c>
      <c r="B78" s="19" t="str">
        <f>INDEX(메뉴구조!$B$5:$B$300,MATCH($A78,메뉴구조!$A$5:$A$300,0))&amp;""</f>
        <v>홈</v>
      </c>
      <c r="C78" s="19" t="str">
        <f>INDEX(메뉴구조!$C$5:$C$300,MATCH($A78,메뉴구조!$A$5:$A$300,0))&amp;""</f>
        <v>—</v>
      </c>
      <c r="D78" s="19" t="str">
        <f>INDEX(메뉴구조!$D$5:$D$300,MATCH($A78,메뉴구조!$A$5:$A$300,0))&amp;""</f>
        <v>—</v>
      </c>
      <c r="E78" s="19" t="str">
        <f>INDEX(메뉴구조!$E$5:$E$300,MATCH($A78,메뉴구조!$A$5:$A$300,0))&amp;""</f>
        <v>—</v>
      </c>
      <c r="F78" s="9" t="str">
        <f>INDEX(메뉴구조!$G$5:$G$300,MATCH($A78,메뉴구조!$A$5:$A$300,0))&amp;""</f>
        <v>홈</v>
      </c>
      <c r="G78" s="18">
        <v>9</v>
      </c>
      <c r="H78" s="9" t="s">
        <v>730</v>
      </c>
      <c r="I78" s="9" t="s">
        <v>731</v>
      </c>
      <c r="J78" s="9"/>
      <c r="K78" s="18" t="s">
        <v>17</v>
      </c>
      <c r="L78" s="9"/>
      <c r="M78" s="9"/>
    </row>
    <row r="79" spans="1:13" ht="62.5" hidden="1">
      <c r="A79" s="18" t="s">
        <v>82</v>
      </c>
      <c r="B79" s="19" t="str">
        <f>INDEX(메뉴구조!$B$5:$B$300,MATCH($A79,메뉴구조!$A$5:$A$300,0))&amp;""</f>
        <v>홈</v>
      </c>
      <c r="C79" s="19" t="str">
        <f>INDEX(메뉴구조!$C$5:$C$300,MATCH($A79,메뉴구조!$A$5:$A$300,0))&amp;""</f>
        <v>—</v>
      </c>
      <c r="D79" s="19" t="str">
        <f>INDEX(메뉴구조!$D$5:$D$300,MATCH($A79,메뉴구조!$A$5:$A$300,0))&amp;""</f>
        <v>—</v>
      </c>
      <c r="E79" s="19" t="str">
        <f>INDEX(메뉴구조!$E$5:$E$300,MATCH($A79,메뉴구조!$A$5:$A$300,0))&amp;""</f>
        <v>—</v>
      </c>
      <c r="F79" s="9" t="str">
        <f>INDEX(메뉴구조!$G$5:$G$300,MATCH($A79,메뉴구조!$A$5:$A$300,0))&amp;""</f>
        <v>홈</v>
      </c>
      <c r="G79" s="18">
        <v>10</v>
      </c>
      <c r="H79" s="9" t="s">
        <v>732</v>
      </c>
      <c r="I79" s="9" t="s">
        <v>733</v>
      </c>
      <c r="J79" s="9"/>
      <c r="K79" s="18" t="s">
        <v>17</v>
      </c>
      <c r="L79" s="9"/>
      <c r="M79" s="9"/>
    </row>
    <row r="80" spans="1:13" ht="62.5" hidden="1">
      <c r="A80" s="18" t="s">
        <v>82</v>
      </c>
      <c r="B80" s="19" t="str">
        <f>INDEX(메뉴구조!$B$5:$B$300,MATCH($A80,메뉴구조!$A$5:$A$300,0))&amp;""</f>
        <v>홈</v>
      </c>
      <c r="C80" s="19" t="str">
        <f>INDEX(메뉴구조!$C$5:$C$300,MATCH($A80,메뉴구조!$A$5:$A$300,0))&amp;""</f>
        <v>—</v>
      </c>
      <c r="D80" s="19" t="str">
        <f>INDEX(메뉴구조!$D$5:$D$300,MATCH($A80,메뉴구조!$A$5:$A$300,0))&amp;""</f>
        <v>—</v>
      </c>
      <c r="E80" s="19" t="str">
        <f>INDEX(메뉴구조!$E$5:$E$300,MATCH($A80,메뉴구조!$A$5:$A$300,0))&amp;""</f>
        <v>—</v>
      </c>
      <c r="F80" s="9" t="str">
        <f>INDEX(메뉴구조!$G$5:$G$300,MATCH($A80,메뉴구조!$A$5:$A$300,0))&amp;""</f>
        <v>홈</v>
      </c>
      <c r="G80" s="18">
        <v>11</v>
      </c>
      <c r="H80" s="9" t="s">
        <v>734</v>
      </c>
      <c r="I80" s="9" t="s">
        <v>735</v>
      </c>
      <c r="J80" s="9"/>
      <c r="K80" s="18" t="s">
        <v>17</v>
      </c>
      <c r="L80" s="9"/>
      <c r="M80" s="9"/>
    </row>
    <row r="81" spans="1:13" ht="62.5" hidden="1">
      <c r="A81" s="18" t="s">
        <v>82</v>
      </c>
      <c r="B81" s="19" t="str">
        <f>INDEX(메뉴구조!$B$5:$B$300,MATCH($A81,메뉴구조!$A$5:$A$300,0))&amp;""</f>
        <v>홈</v>
      </c>
      <c r="C81" s="19" t="str">
        <f>INDEX(메뉴구조!$C$5:$C$300,MATCH($A81,메뉴구조!$A$5:$A$300,0))&amp;""</f>
        <v>—</v>
      </c>
      <c r="D81" s="19" t="str">
        <f>INDEX(메뉴구조!$D$5:$D$300,MATCH($A81,메뉴구조!$A$5:$A$300,0))&amp;""</f>
        <v>—</v>
      </c>
      <c r="E81" s="19" t="str">
        <f>INDEX(메뉴구조!$E$5:$E$300,MATCH($A81,메뉴구조!$A$5:$A$300,0))&amp;""</f>
        <v>—</v>
      </c>
      <c r="F81" s="9" t="str">
        <f>INDEX(메뉴구조!$G$5:$G$300,MATCH($A81,메뉴구조!$A$5:$A$300,0))&amp;""</f>
        <v>홈</v>
      </c>
      <c r="G81" s="18">
        <v>12</v>
      </c>
      <c r="H81" s="32" t="s">
        <v>736</v>
      </c>
      <c r="I81" s="32" t="s">
        <v>737</v>
      </c>
      <c r="J81" s="32" t="s">
        <v>738</v>
      </c>
      <c r="K81" s="23" t="s">
        <v>7</v>
      </c>
      <c r="L81" s="9" t="s">
        <v>739</v>
      </c>
      <c r="M81" s="9"/>
    </row>
    <row r="82" spans="1:13" ht="62.5" hidden="1">
      <c r="A82" s="18" t="s">
        <v>87</v>
      </c>
      <c r="B82" s="19" t="str">
        <f>INDEX(메뉴구조!$B$5:$B$300,MATCH($A82,메뉴구조!$A$5:$A$300,0))&amp;""</f>
        <v>홈</v>
      </c>
      <c r="C82" s="19" t="str">
        <f>INDEX(메뉴구조!$C$5:$C$300,MATCH($A82,메뉴구조!$A$5:$A$300,0))&amp;""</f>
        <v>로그인 후</v>
      </c>
      <c r="D82" s="19" t="str">
        <f>INDEX(메뉴구조!$D$5:$D$300,MATCH($A82,메뉴구조!$A$5:$A$300,0))&amp;""</f>
        <v>—</v>
      </c>
      <c r="E82" s="19" t="str">
        <f>INDEX(메뉴구조!$E$5:$E$300,MATCH($A82,메뉴구조!$A$5:$A$300,0))&amp;""</f>
        <v>—</v>
      </c>
      <c r="F82" s="9" t="str">
        <f>INDEX(메뉴구조!$G$5:$G$300,MATCH($A82,메뉴구조!$A$5:$A$300,0))&amp;""</f>
        <v>홈 / 로그인 후</v>
      </c>
      <c r="G82" s="18">
        <v>1</v>
      </c>
      <c r="H82" s="9" t="s">
        <v>740</v>
      </c>
      <c r="I82" s="9" t="s">
        <v>741</v>
      </c>
      <c r="J82" s="9"/>
      <c r="K82" s="18" t="s">
        <v>17</v>
      </c>
      <c r="L82" s="9"/>
      <c r="M82" s="9"/>
    </row>
    <row r="83" spans="1:13" ht="100" hidden="1">
      <c r="A83" s="18" t="s">
        <v>87</v>
      </c>
      <c r="B83" s="19" t="str">
        <f>INDEX(메뉴구조!$B$5:$B$300,MATCH($A83,메뉴구조!$A$5:$A$300,0))&amp;""</f>
        <v>홈</v>
      </c>
      <c r="C83" s="19" t="str">
        <f>INDEX(메뉴구조!$C$5:$C$300,MATCH($A83,메뉴구조!$A$5:$A$300,0))&amp;""</f>
        <v>로그인 후</v>
      </c>
      <c r="D83" s="19" t="str">
        <f>INDEX(메뉴구조!$D$5:$D$300,MATCH($A83,메뉴구조!$A$5:$A$300,0))&amp;""</f>
        <v>—</v>
      </c>
      <c r="E83" s="19" t="str">
        <f>INDEX(메뉴구조!$E$5:$E$300,MATCH($A83,메뉴구조!$A$5:$A$300,0))&amp;""</f>
        <v>—</v>
      </c>
      <c r="F83" s="9" t="str">
        <f>INDEX(메뉴구조!$G$5:$G$300,MATCH($A83,메뉴구조!$A$5:$A$300,0))&amp;""</f>
        <v>홈 / 로그인 후</v>
      </c>
      <c r="G83" s="18">
        <v>2</v>
      </c>
      <c r="H83" s="9" t="s">
        <v>742</v>
      </c>
      <c r="I83" s="9" t="s">
        <v>743</v>
      </c>
      <c r="J83" s="9" t="s">
        <v>744</v>
      </c>
      <c r="K83" s="18" t="s">
        <v>17</v>
      </c>
      <c r="L83" s="9"/>
      <c r="M83" s="9"/>
    </row>
    <row r="84" spans="1:13" hidden="1">
      <c r="A84" s="18" t="s">
        <v>87</v>
      </c>
      <c r="B84" s="19" t="str">
        <f>INDEX(메뉴구조!$B$5:$B$300,MATCH($A84,메뉴구조!$A$5:$A$300,0))&amp;""</f>
        <v>홈</v>
      </c>
      <c r="C84" s="19" t="str">
        <f>INDEX(메뉴구조!$C$5:$C$300,MATCH($A84,메뉴구조!$A$5:$A$300,0))&amp;""</f>
        <v>로그인 후</v>
      </c>
      <c r="D84" s="19" t="str">
        <f>INDEX(메뉴구조!$D$5:$D$300,MATCH($A84,메뉴구조!$A$5:$A$300,0))&amp;""</f>
        <v>—</v>
      </c>
      <c r="E84" s="19" t="str">
        <f>INDEX(메뉴구조!$E$5:$E$300,MATCH($A84,메뉴구조!$A$5:$A$300,0))&amp;""</f>
        <v>—</v>
      </c>
      <c r="F84" s="9" t="str">
        <f>INDEX(메뉴구조!$G$5:$G$300,MATCH($A84,메뉴구조!$A$5:$A$300,0))&amp;""</f>
        <v>홈 / 로그인 후</v>
      </c>
      <c r="G84" s="18">
        <v>3</v>
      </c>
      <c r="H84" s="9" t="s">
        <v>745</v>
      </c>
      <c r="I84" s="9" t="s">
        <v>746</v>
      </c>
      <c r="J84" s="9"/>
      <c r="K84" s="18" t="s">
        <v>17</v>
      </c>
      <c r="L84" s="9"/>
      <c r="M84" s="9"/>
    </row>
    <row r="85" spans="1:13" ht="75" hidden="1">
      <c r="A85" s="18" t="s">
        <v>89</v>
      </c>
      <c r="B85" s="19" t="str">
        <f>INDEX(메뉴구조!$B$5:$B$300,MATCH($A85,메뉴구조!$A$5:$A$300,0))&amp;""</f>
        <v>홈</v>
      </c>
      <c r="C85" s="19" t="str">
        <f>INDEX(메뉴구조!$C$5:$C$300,MATCH($A85,메뉴구조!$A$5:$A$300,0))&amp;""</f>
        <v>로그인 후</v>
      </c>
      <c r="D85" s="19" t="str">
        <f>INDEX(메뉴구조!$D$5:$D$300,MATCH($A85,메뉴구조!$A$5:$A$300,0))&amp;""</f>
        <v>—</v>
      </c>
      <c r="E85" s="19" t="str">
        <f>INDEX(메뉴구조!$E$5:$E$300,MATCH($A85,메뉴구조!$A$5:$A$300,0))&amp;""</f>
        <v>—</v>
      </c>
      <c r="F85" s="9" t="str">
        <f>INDEX(메뉴구조!$G$5:$G$300,MATCH($A85,메뉴구조!$A$5:$A$300,0))&amp;""</f>
        <v>홈 / 로그인 후</v>
      </c>
      <c r="G85" s="18">
        <v>1</v>
      </c>
      <c r="H85" s="31" t="s">
        <v>747</v>
      </c>
      <c r="I85" s="31" t="s">
        <v>748</v>
      </c>
      <c r="J85" s="9"/>
      <c r="K85" s="20" t="s">
        <v>9</v>
      </c>
      <c r="L85" s="9" t="s">
        <v>749</v>
      </c>
      <c r="M85" s="9" t="s">
        <v>750</v>
      </c>
    </row>
    <row r="86" spans="1:13" ht="62.5" hidden="1">
      <c r="A86" s="18" t="s">
        <v>91</v>
      </c>
      <c r="B86" s="19" t="str">
        <f>INDEX(메뉴구조!$B$5:$B$300,MATCH($A86,메뉴구조!$A$5:$A$300,0))&amp;""</f>
        <v>백년가게</v>
      </c>
      <c r="C86" s="19" t="str">
        <f>INDEX(메뉴구조!$C$5:$C$300,MATCH($A86,메뉴구조!$A$5:$A$300,0))&amp;""</f>
        <v>탐색</v>
      </c>
      <c r="D86" s="19" t="str">
        <f>INDEX(메뉴구조!$D$5:$D$300,MATCH($A86,메뉴구조!$A$5:$A$300,0))&amp;""</f>
        <v>목록</v>
      </c>
      <c r="E86" s="19" t="str">
        <f>INDEX(메뉴구조!$E$5:$E$300,MATCH($A86,메뉴구조!$A$5:$A$300,0))&amp;""</f>
        <v>—</v>
      </c>
      <c r="F86" s="9" t="str">
        <f>INDEX(메뉴구조!$G$5:$G$300,MATCH($A86,메뉴구조!$A$5:$A$300,0))&amp;""</f>
        <v>백년가게 / 탐색 / 목록</v>
      </c>
      <c r="G86" s="18">
        <v>1</v>
      </c>
      <c r="H86" s="9" t="s">
        <v>751</v>
      </c>
      <c r="I86" s="9" t="s">
        <v>752</v>
      </c>
      <c r="J86" s="9"/>
      <c r="K86" s="18" t="s">
        <v>17</v>
      </c>
      <c r="L86" s="9"/>
      <c r="M86" s="9"/>
    </row>
    <row r="87" spans="1:13" ht="100" hidden="1">
      <c r="A87" s="18" t="s">
        <v>91</v>
      </c>
      <c r="B87" s="19" t="str">
        <f>INDEX(메뉴구조!$B$5:$B$300,MATCH($A87,메뉴구조!$A$5:$A$300,0))&amp;""</f>
        <v>백년가게</v>
      </c>
      <c r="C87" s="19" t="str">
        <f>INDEX(메뉴구조!$C$5:$C$300,MATCH($A87,메뉴구조!$A$5:$A$300,0))&amp;""</f>
        <v>탐색</v>
      </c>
      <c r="D87" s="19" t="str">
        <f>INDEX(메뉴구조!$D$5:$D$300,MATCH($A87,메뉴구조!$A$5:$A$300,0))&amp;""</f>
        <v>목록</v>
      </c>
      <c r="E87" s="19" t="str">
        <f>INDEX(메뉴구조!$E$5:$E$300,MATCH($A87,메뉴구조!$A$5:$A$300,0))&amp;""</f>
        <v>—</v>
      </c>
      <c r="F87" s="9" t="str">
        <f>INDEX(메뉴구조!$G$5:$G$300,MATCH($A87,메뉴구조!$A$5:$A$300,0))&amp;""</f>
        <v>백년가게 / 탐색 / 목록</v>
      </c>
      <c r="G87" s="18">
        <v>2</v>
      </c>
      <c r="H87" s="9" t="s">
        <v>753</v>
      </c>
      <c r="I87" s="9" t="s">
        <v>754</v>
      </c>
      <c r="J87" s="9"/>
      <c r="K87" s="18" t="s">
        <v>17</v>
      </c>
      <c r="L87" s="9"/>
      <c r="M87" s="9"/>
    </row>
    <row r="88" spans="1:13" ht="62.5" hidden="1">
      <c r="A88" s="18" t="s">
        <v>91</v>
      </c>
      <c r="B88" s="19" t="str">
        <f>INDEX(메뉴구조!$B$5:$B$300,MATCH($A88,메뉴구조!$A$5:$A$300,0))&amp;""</f>
        <v>백년가게</v>
      </c>
      <c r="C88" s="19" t="str">
        <f>INDEX(메뉴구조!$C$5:$C$300,MATCH($A88,메뉴구조!$A$5:$A$300,0))&amp;""</f>
        <v>탐색</v>
      </c>
      <c r="D88" s="19" t="str">
        <f>INDEX(메뉴구조!$D$5:$D$300,MATCH($A88,메뉴구조!$A$5:$A$300,0))&amp;""</f>
        <v>목록</v>
      </c>
      <c r="E88" s="19" t="str">
        <f>INDEX(메뉴구조!$E$5:$E$300,MATCH($A88,메뉴구조!$A$5:$A$300,0))&amp;""</f>
        <v>—</v>
      </c>
      <c r="F88" s="9" t="str">
        <f>INDEX(메뉴구조!$G$5:$G$300,MATCH($A88,메뉴구조!$A$5:$A$300,0))&amp;""</f>
        <v>백년가게 / 탐색 / 목록</v>
      </c>
      <c r="G88" s="18">
        <v>3</v>
      </c>
      <c r="H88" s="9" t="s">
        <v>755</v>
      </c>
      <c r="I88" s="9" t="s">
        <v>756</v>
      </c>
      <c r="J88" s="9"/>
      <c r="K88" s="18" t="s">
        <v>17</v>
      </c>
      <c r="L88" s="9"/>
      <c r="M88" s="9"/>
    </row>
    <row r="89" spans="1:13" ht="50" hidden="1">
      <c r="A89" s="18" t="s">
        <v>91</v>
      </c>
      <c r="B89" s="19" t="str">
        <f>INDEX(메뉴구조!$B$5:$B$300,MATCH($A89,메뉴구조!$A$5:$A$300,0))&amp;""</f>
        <v>백년가게</v>
      </c>
      <c r="C89" s="19" t="str">
        <f>INDEX(메뉴구조!$C$5:$C$300,MATCH($A89,메뉴구조!$A$5:$A$300,0))&amp;""</f>
        <v>탐색</v>
      </c>
      <c r="D89" s="19" t="str">
        <f>INDEX(메뉴구조!$D$5:$D$300,MATCH($A89,메뉴구조!$A$5:$A$300,0))&amp;""</f>
        <v>목록</v>
      </c>
      <c r="E89" s="19" t="str">
        <f>INDEX(메뉴구조!$E$5:$E$300,MATCH($A89,메뉴구조!$A$5:$A$300,0))&amp;""</f>
        <v>—</v>
      </c>
      <c r="F89" s="9" t="str">
        <f>INDEX(메뉴구조!$G$5:$G$300,MATCH($A89,메뉴구조!$A$5:$A$300,0))&amp;""</f>
        <v>백년가게 / 탐색 / 목록</v>
      </c>
      <c r="G89" s="18">
        <v>4</v>
      </c>
      <c r="H89" s="31" t="s">
        <v>757</v>
      </c>
      <c r="I89" s="31" t="s">
        <v>758</v>
      </c>
      <c r="J89" s="9"/>
      <c r="K89" s="20" t="s">
        <v>9</v>
      </c>
      <c r="L89" s="9" t="s">
        <v>100</v>
      </c>
      <c r="M89" s="9" t="s">
        <v>759</v>
      </c>
    </row>
    <row r="90" spans="1:13" ht="87.5" hidden="1">
      <c r="A90" s="18" t="s">
        <v>91</v>
      </c>
      <c r="B90" s="19" t="str">
        <f>INDEX(메뉴구조!$B$5:$B$300,MATCH($A90,메뉴구조!$A$5:$A$300,0))&amp;""</f>
        <v>백년가게</v>
      </c>
      <c r="C90" s="19" t="str">
        <f>INDEX(메뉴구조!$C$5:$C$300,MATCH($A90,메뉴구조!$A$5:$A$300,0))&amp;""</f>
        <v>탐색</v>
      </c>
      <c r="D90" s="19" t="str">
        <f>INDEX(메뉴구조!$D$5:$D$300,MATCH($A90,메뉴구조!$A$5:$A$300,0))&amp;""</f>
        <v>목록</v>
      </c>
      <c r="E90" s="19" t="str">
        <f>INDEX(메뉴구조!$E$5:$E$300,MATCH($A90,메뉴구조!$A$5:$A$300,0))&amp;""</f>
        <v>—</v>
      </c>
      <c r="F90" s="9" t="str">
        <f>INDEX(메뉴구조!$G$5:$G$300,MATCH($A90,메뉴구조!$A$5:$A$300,0))&amp;""</f>
        <v>백년가게 / 탐색 / 목록</v>
      </c>
      <c r="G90" s="18">
        <v>5</v>
      </c>
      <c r="H90" s="32" t="s">
        <v>736</v>
      </c>
      <c r="I90" s="32" t="s">
        <v>760</v>
      </c>
      <c r="J90" s="32" t="s">
        <v>738</v>
      </c>
      <c r="K90" s="23" t="s">
        <v>7</v>
      </c>
      <c r="L90" s="9" t="s">
        <v>739</v>
      </c>
      <c r="M90" s="9"/>
    </row>
    <row r="91" spans="1:13" ht="25" hidden="1">
      <c r="A91" s="18" t="s">
        <v>96</v>
      </c>
      <c r="B91" s="19" t="str">
        <f>INDEX(메뉴구조!$B$5:$B$300,MATCH($A91,메뉴구조!$A$5:$A$300,0))&amp;""</f>
        <v>백년가게</v>
      </c>
      <c r="C91" s="19" t="str">
        <f>INDEX(메뉴구조!$C$5:$C$300,MATCH($A91,메뉴구조!$A$5:$A$300,0))&amp;""</f>
        <v>탐색</v>
      </c>
      <c r="D91" s="19" t="str">
        <f>INDEX(메뉴구조!$D$5:$D$300,MATCH($A91,메뉴구조!$A$5:$A$300,0))&amp;""</f>
        <v>가게 상세</v>
      </c>
      <c r="E91" s="19" t="str">
        <f>INDEX(메뉴구조!$E$5:$E$300,MATCH($A91,메뉴구조!$A$5:$A$300,0))&amp;""</f>
        <v>정보</v>
      </c>
      <c r="F91" s="9" t="str">
        <f>INDEX(메뉴구조!$G$5:$G$300,MATCH($A91,메뉴구조!$A$5:$A$300,0))&amp;""</f>
        <v>백년가게 / 탐색 / 가게 상세 / 정보</v>
      </c>
      <c r="G91" s="18">
        <v>1</v>
      </c>
      <c r="H91" s="9" t="s">
        <v>761</v>
      </c>
      <c r="I91" s="9" t="s">
        <v>762</v>
      </c>
      <c r="J91" s="9"/>
      <c r="K91" s="18" t="s">
        <v>17</v>
      </c>
      <c r="L91" s="9"/>
      <c r="M91" s="9"/>
    </row>
    <row r="92" spans="1:13" ht="50" hidden="1">
      <c r="A92" s="18" t="s">
        <v>96</v>
      </c>
      <c r="B92" s="19" t="str">
        <f>INDEX(메뉴구조!$B$5:$B$300,MATCH($A92,메뉴구조!$A$5:$A$300,0))&amp;""</f>
        <v>백년가게</v>
      </c>
      <c r="C92" s="19" t="str">
        <f>INDEX(메뉴구조!$C$5:$C$300,MATCH($A92,메뉴구조!$A$5:$A$300,0))&amp;""</f>
        <v>탐색</v>
      </c>
      <c r="D92" s="19" t="str">
        <f>INDEX(메뉴구조!$D$5:$D$300,MATCH($A92,메뉴구조!$A$5:$A$300,0))&amp;""</f>
        <v>가게 상세</v>
      </c>
      <c r="E92" s="19" t="str">
        <f>INDEX(메뉴구조!$E$5:$E$300,MATCH($A92,메뉴구조!$A$5:$A$300,0))&amp;""</f>
        <v>정보</v>
      </c>
      <c r="F92" s="9" t="str">
        <f>INDEX(메뉴구조!$G$5:$G$300,MATCH($A92,메뉴구조!$A$5:$A$300,0))&amp;""</f>
        <v>백년가게 / 탐색 / 가게 상세 / 정보</v>
      </c>
      <c r="G92" s="18">
        <v>2</v>
      </c>
      <c r="H92" s="31" t="s">
        <v>757</v>
      </c>
      <c r="I92" s="31" t="s">
        <v>763</v>
      </c>
      <c r="J92" s="9"/>
      <c r="K92" s="20" t="s">
        <v>9</v>
      </c>
      <c r="L92" s="9" t="s">
        <v>100</v>
      </c>
      <c r="M92" s="9" t="s">
        <v>764</v>
      </c>
    </row>
    <row r="93" spans="1:13" ht="50" hidden="1">
      <c r="A93" s="18" t="s">
        <v>96</v>
      </c>
      <c r="B93" s="19" t="str">
        <f>INDEX(메뉴구조!$B$5:$B$300,MATCH($A93,메뉴구조!$A$5:$A$300,0))&amp;""</f>
        <v>백년가게</v>
      </c>
      <c r="C93" s="19" t="str">
        <f>INDEX(메뉴구조!$C$5:$C$300,MATCH($A93,메뉴구조!$A$5:$A$300,0))&amp;""</f>
        <v>탐색</v>
      </c>
      <c r="D93" s="19" t="str">
        <f>INDEX(메뉴구조!$D$5:$D$300,MATCH($A93,메뉴구조!$A$5:$A$300,0))&amp;""</f>
        <v>가게 상세</v>
      </c>
      <c r="E93" s="19" t="str">
        <f>INDEX(메뉴구조!$E$5:$E$300,MATCH($A93,메뉴구조!$A$5:$A$300,0))&amp;""</f>
        <v>정보</v>
      </c>
      <c r="F93" s="9" t="str">
        <f>INDEX(메뉴구조!$G$5:$G$300,MATCH($A93,메뉴구조!$A$5:$A$300,0))&amp;""</f>
        <v>백년가게 / 탐색 / 가게 상세 / 정보</v>
      </c>
      <c r="G93" s="18">
        <v>3</v>
      </c>
      <c r="H93" s="9" t="s">
        <v>765</v>
      </c>
      <c r="I93" s="9" t="s">
        <v>766</v>
      </c>
      <c r="J93" s="9"/>
      <c r="K93" s="18" t="s">
        <v>17</v>
      </c>
      <c r="L93" s="9"/>
      <c r="M93" s="9"/>
    </row>
    <row r="94" spans="1:13" ht="37.5" hidden="1">
      <c r="A94" s="18" t="s">
        <v>96</v>
      </c>
      <c r="B94" s="19" t="str">
        <f>INDEX(메뉴구조!$B$5:$B$300,MATCH($A94,메뉴구조!$A$5:$A$300,0))&amp;""</f>
        <v>백년가게</v>
      </c>
      <c r="C94" s="19" t="str">
        <f>INDEX(메뉴구조!$C$5:$C$300,MATCH($A94,메뉴구조!$A$5:$A$300,0))&amp;""</f>
        <v>탐색</v>
      </c>
      <c r="D94" s="19" t="str">
        <f>INDEX(메뉴구조!$D$5:$D$300,MATCH($A94,메뉴구조!$A$5:$A$300,0))&amp;""</f>
        <v>가게 상세</v>
      </c>
      <c r="E94" s="19" t="str">
        <f>INDEX(메뉴구조!$E$5:$E$300,MATCH($A94,메뉴구조!$A$5:$A$300,0))&amp;""</f>
        <v>정보</v>
      </c>
      <c r="F94" s="9" t="str">
        <f>INDEX(메뉴구조!$G$5:$G$300,MATCH($A94,메뉴구조!$A$5:$A$300,0))&amp;""</f>
        <v>백년가게 / 탐색 / 가게 상세 / 정보</v>
      </c>
      <c r="G94" s="18">
        <v>4</v>
      </c>
      <c r="H94" s="9" t="s">
        <v>767</v>
      </c>
      <c r="I94" s="9" t="s">
        <v>768</v>
      </c>
      <c r="J94" s="9"/>
      <c r="K94" s="18" t="s">
        <v>17</v>
      </c>
      <c r="L94" s="9"/>
      <c r="M94" s="9"/>
    </row>
    <row r="95" spans="1:13" hidden="1">
      <c r="A95" s="18" t="s">
        <v>96</v>
      </c>
      <c r="B95" s="19" t="str">
        <f>INDEX(메뉴구조!$B$5:$B$300,MATCH($A95,메뉴구조!$A$5:$A$300,0))&amp;""</f>
        <v>백년가게</v>
      </c>
      <c r="C95" s="19" t="str">
        <f>INDEX(메뉴구조!$C$5:$C$300,MATCH($A95,메뉴구조!$A$5:$A$300,0))&amp;""</f>
        <v>탐색</v>
      </c>
      <c r="D95" s="19" t="str">
        <f>INDEX(메뉴구조!$D$5:$D$300,MATCH($A95,메뉴구조!$A$5:$A$300,0))&amp;""</f>
        <v>가게 상세</v>
      </c>
      <c r="E95" s="19" t="str">
        <f>INDEX(메뉴구조!$E$5:$E$300,MATCH($A95,메뉴구조!$A$5:$A$300,0))&amp;""</f>
        <v>정보</v>
      </c>
      <c r="F95" s="9" t="str">
        <f>INDEX(메뉴구조!$G$5:$G$300,MATCH($A95,메뉴구조!$A$5:$A$300,0))&amp;""</f>
        <v>백년가게 / 탐색 / 가게 상세 / 정보</v>
      </c>
      <c r="G95" s="18">
        <v>5</v>
      </c>
      <c r="H95" s="9" t="s">
        <v>769</v>
      </c>
      <c r="I95" s="9" t="s">
        <v>770</v>
      </c>
      <c r="J95" s="9"/>
      <c r="K95" s="18" t="s">
        <v>17</v>
      </c>
      <c r="L95" s="9"/>
      <c r="M95" s="9"/>
    </row>
    <row r="96" spans="1:13" ht="37.5" hidden="1">
      <c r="A96" s="18" t="s">
        <v>96</v>
      </c>
      <c r="B96" s="19" t="str">
        <f>INDEX(메뉴구조!$B$5:$B$300,MATCH($A96,메뉴구조!$A$5:$A$300,0))&amp;""</f>
        <v>백년가게</v>
      </c>
      <c r="C96" s="19" t="str">
        <f>INDEX(메뉴구조!$C$5:$C$300,MATCH($A96,메뉴구조!$A$5:$A$300,0))&amp;""</f>
        <v>탐색</v>
      </c>
      <c r="D96" s="19" t="str">
        <f>INDEX(메뉴구조!$D$5:$D$300,MATCH($A96,메뉴구조!$A$5:$A$300,0))&amp;""</f>
        <v>가게 상세</v>
      </c>
      <c r="E96" s="19" t="str">
        <f>INDEX(메뉴구조!$E$5:$E$300,MATCH($A96,메뉴구조!$A$5:$A$300,0))&amp;""</f>
        <v>정보</v>
      </c>
      <c r="F96" s="9" t="str">
        <f>INDEX(메뉴구조!$G$5:$G$300,MATCH($A96,메뉴구조!$A$5:$A$300,0))&amp;""</f>
        <v>백년가게 / 탐색 / 가게 상세 / 정보</v>
      </c>
      <c r="G96" s="18">
        <v>6</v>
      </c>
      <c r="H96" s="9" t="s">
        <v>771</v>
      </c>
      <c r="I96" s="9" t="s">
        <v>772</v>
      </c>
      <c r="J96" s="9"/>
      <c r="K96" s="18" t="s">
        <v>17</v>
      </c>
      <c r="L96" s="9"/>
      <c r="M96" s="9"/>
    </row>
    <row r="97" spans="1:13" ht="137.5" hidden="1">
      <c r="A97" s="18" t="s">
        <v>96</v>
      </c>
      <c r="B97" s="19" t="str">
        <f>INDEX(메뉴구조!$B$5:$B$300,MATCH($A97,메뉴구조!$A$5:$A$300,0))&amp;""</f>
        <v>백년가게</v>
      </c>
      <c r="C97" s="19" t="str">
        <f>INDEX(메뉴구조!$C$5:$C$300,MATCH($A97,메뉴구조!$A$5:$A$300,0))&amp;""</f>
        <v>탐색</v>
      </c>
      <c r="D97" s="19" t="str">
        <f>INDEX(메뉴구조!$D$5:$D$300,MATCH($A97,메뉴구조!$A$5:$A$300,0))&amp;""</f>
        <v>가게 상세</v>
      </c>
      <c r="E97" s="19" t="str">
        <f>INDEX(메뉴구조!$E$5:$E$300,MATCH($A97,메뉴구조!$A$5:$A$300,0))&amp;""</f>
        <v>정보</v>
      </c>
      <c r="F97" s="9" t="str">
        <f>INDEX(메뉴구조!$G$5:$G$300,MATCH($A97,메뉴구조!$A$5:$A$300,0))&amp;""</f>
        <v>백년가게 / 탐색 / 가게 상세 / 정보</v>
      </c>
      <c r="G97" s="18">
        <v>7</v>
      </c>
      <c r="H97" s="9" t="s">
        <v>773</v>
      </c>
      <c r="I97" s="9" t="s">
        <v>774</v>
      </c>
      <c r="J97" s="9"/>
      <c r="K97" s="18" t="s">
        <v>17</v>
      </c>
      <c r="L97" s="9"/>
      <c r="M97" s="9"/>
    </row>
    <row r="98" spans="1:13" hidden="1">
      <c r="A98" s="18" t="s">
        <v>96</v>
      </c>
      <c r="B98" s="19" t="str">
        <f>INDEX(메뉴구조!$B$5:$B$300,MATCH($A98,메뉴구조!$A$5:$A$300,0))&amp;""</f>
        <v>백년가게</v>
      </c>
      <c r="C98" s="19" t="str">
        <f>INDEX(메뉴구조!$C$5:$C$300,MATCH($A98,메뉴구조!$A$5:$A$300,0))&amp;""</f>
        <v>탐색</v>
      </c>
      <c r="D98" s="19" t="str">
        <f>INDEX(메뉴구조!$D$5:$D$300,MATCH($A98,메뉴구조!$A$5:$A$300,0))&amp;""</f>
        <v>가게 상세</v>
      </c>
      <c r="E98" s="19" t="str">
        <f>INDEX(메뉴구조!$E$5:$E$300,MATCH($A98,메뉴구조!$A$5:$A$300,0))&amp;""</f>
        <v>정보</v>
      </c>
      <c r="F98" s="9" t="str">
        <f>INDEX(메뉴구조!$G$5:$G$300,MATCH($A98,메뉴구조!$A$5:$A$300,0))&amp;""</f>
        <v>백년가게 / 탐색 / 가게 상세 / 정보</v>
      </c>
      <c r="G98" s="18">
        <v>8</v>
      </c>
      <c r="H98" s="9" t="s">
        <v>775</v>
      </c>
      <c r="I98" s="9" t="s">
        <v>776</v>
      </c>
      <c r="J98" s="9"/>
      <c r="K98" s="18" t="s">
        <v>17</v>
      </c>
      <c r="L98" s="9"/>
      <c r="M98" s="9"/>
    </row>
    <row r="99" spans="1:13" hidden="1">
      <c r="A99" s="18" t="s">
        <v>101</v>
      </c>
      <c r="B99" s="19" t="str">
        <f>INDEX(메뉴구조!$B$5:$B$300,MATCH($A99,메뉴구조!$A$5:$A$300,0))&amp;""</f>
        <v>백년가게</v>
      </c>
      <c r="C99" s="19" t="str">
        <f>INDEX(메뉴구조!$C$5:$C$300,MATCH($A99,메뉴구조!$A$5:$A$300,0))&amp;""</f>
        <v>탐색</v>
      </c>
      <c r="D99" s="19" t="str">
        <f>INDEX(메뉴구조!$D$5:$D$300,MATCH($A99,메뉴구조!$A$5:$A$300,0))&amp;""</f>
        <v>가게 상세</v>
      </c>
      <c r="E99" s="19" t="str">
        <f>INDEX(메뉴구조!$E$5:$E$300,MATCH($A99,메뉴구조!$A$5:$A$300,0))&amp;""</f>
        <v>종목</v>
      </c>
      <c r="F99" s="9" t="str">
        <f>INDEX(메뉴구조!$G$5:$G$300,MATCH($A99,메뉴구조!$A$5:$A$300,0))&amp;""</f>
        <v>백년가게 / 탐색 / 가게 상세 / 종목</v>
      </c>
      <c r="G99" s="18">
        <v>1</v>
      </c>
      <c r="H99" s="9" t="s">
        <v>777</v>
      </c>
      <c r="I99" s="9" t="s">
        <v>778</v>
      </c>
      <c r="J99" s="9"/>
      <c r="K99" s="18" t="s">
        <v>17</v>
      </c>
      <c r="L99" s="9"/>
      <c r="M99" s="9"/>
    </row>
    <row r="100" spans="1:13" ht="75" hidden="1">
      <c r="A100" s="18" t="s">
        <v>101</v>
      </c>
      <c r="B100" s="19" t="str">
        <f>INDEX(메뉴구조!$B$5:$B$300,MATCH($A100,메뉴구조!$A$5:$A$300,0))&amp;""</f>
        <v>백년가게</v>
      </c>
      <c r="C100" s="19" t="str">
        <f>INDEX(메뉴구조!$C$5:$C$300,MATCH($A100,메뉴구조!$A$5:$A$300,0))&amp;""</f>
        <v>탐색</v>
      </c>
      <c r="D100" s="19" t="str">
        <f>INDEX(메뉴구조!$D$5:$D$300,MATCH($A100,메뉴구조!$A$5:$A$300,0))&amp;""</f>
        <v>가게 상세</v>
      </c>
      <c r="E100" s="19" t="str">
        <f>INDEX(메뉴구조!$E$5:$E$300,MATCH($A100,메뉴구조!$A$5:$A$300,0))&amp;""</f>
        <v>종목</v>
      </c>
      <c r="F100" s="9" t="str">
        <f>INDEX(메뉴구조!$G$5:$G$300,MATCH($A100,메뉴구조!$A$5:$A$300,0))&amp;""</f>
        <v>백년가게 / 탐색 / 가게 상세 / 종목</v>
      </c>
      <c r="G100" s="18">
        <v>2</v>
      </c>
      <c r="H100" s="9" t="s">
        <v>779</v>
      </c>
      <c r="I100" s="9" t="s">
        <v>780</v>
      </c>
      <c r="J100" s="9"/>
      <c r="K100" s="18" t="s">
        <v>17</v>
      </c>
      <c r="L100" s="9"/>
      <c r="M100" s="9"/>
    </row>
    <row r="101" spans="1:13" ht="37.5" hidden="1">
      <c r="A101" s="18" t="s">
        <v>101</v>
      </c>
      <c r="B101" s="19" t="str">
        <f>INDEX(메뉴구조!$B$5:$B$300,MATCH($A101,메뉴구조!$A$5:$A$300,0))&amp;""</f>
        <v>백년가게</v>
      </c>
      <c r="C101" s="19" t="str">
        <f>INDEX(메뉴구조!$C$5:$C$300,MATCH($A101,메뉴구조!$A$5:$A$300,0))&amp;""</f>
        <v>탐색</v>
      </c>
      <c r="D101" s="19" t="str">
        <f>INDEX(메뉴구조!$D$5:$D$300,MATCH($A101,메뉴구조!$A$5:$A$300,0))&amp;""</f>
        <v>가게 상세</v>
      </c>
      <c r="E101" s="19" t="str">
        <f>INDEX(메뉴구조!$E$5:$E$300,MATCH($A101,메뉴구조!$A$5:$A$300,0))&amp;""</f>
        <v>종목</v>
      </c>
      <c r="F101" s="9" t="str">
        <f>INDEX(메뉴구조!$G$5:$G$300,MATCH($A101,메뉴구조!$A$5:$A$300,0))&amp;""</f>
        <v>백년가게 / 탐색 / 가게 상세 / 종목</v>
      </c>
      <c r="G101" s="18">
        <v>3</v>
      </c>
      <c r="H101" s="9" t="s">
        <v>781</v>
      </c>
      <c r="I101" s="9" t="s">
        <v>782</v>
      </c>
      <c r="J101" s="9"/>
      <c r="K101" s="18" t="s">
        <v>17</v>
      </c>
      <c r="L101" s="9"/>
      <c r="M101" s="9"/>
    </row>
    <row r="102" spans="1:13" ht="25" hidden="1">
      <c r="A102" s="18" t="s">
        <v>101</v>
      </c>
      <c r="B102" s="19" t="str">
        <f>INDEX(메뉴구조!$B$5:$B$300,MATCH($A102,메뉴구조!$A$5:$A$300,0))&amp;""</f>
        <v>백년가게</v>
      </c>
      <c r="C102" s="19" t="str">
        <f>INDEX(메뉴구조!$C$5:$C$300,MATCH($A102,메뉴구조!$A$5:$A$300,0))&amp;""</f>
        <v>탐색</v>
      </c>
      <c r="D102" s="19" t="str">
        <f>INDEX(메뉴구조!$D$5:$D$300,MATCH($A102,메뉴구조!$A$5:$A$300,0))&amp;""</f>
        <v>가게 상세</v>
      </c>
      <c r="E102" s="19" t="str">
        <f>INDEX(메뉴구조!$E$5:$E$300,MATCH($A102,메뉴구조!$A$5:$A$300,0))&amp;""</f>
        <v>종목</v>
      </c>
      <c r="F102" s="9" t="str">
        <f>INDEX(메뉴구조!$G$5:$G$300,MATCH($A102,메뉴구조!$A$5:$A$300,0))&amp;""</f>
        <v>백년가게 / 탐색 / 가게 상세 / 종목</v>
      </c>
      <c r="G102" s="18">
        <v>4</v>
      </c>
      <c r="H102" s="9" t="s">
        <v>783</v>
      </c>
      <c r="I102" s="9" t="s">
        <v>784</v>
      </c>
      <c r="J102" s="9"/>
      <c r="K102" s="18" t="s">
        <v>17</v>
      </c>
      <c r="L102" s="9"/>
      <c r="M102" s="9"/>
    </row>
    <row r="103" spans="1:13" ht="62.5" hidden="1">
      <c r="A103" s="18" t="s">
        <v>104</v>
      </c>
      <c r="B103" s="19" t="str">
        <f>INDEX(메뉴구조!$B$5:$B$300,MATCH($A103,메뉴구조!$A$5:$A$300,0))&amp;""</f>
        <v>백년가게</v>
      </c>
      <c r="C103" s="19" t="str">
        <f>INDEX(메뉴구조!$C$5:$C$300,MATCH($A103,메뉴구조!$A$5:$A$300,0))&amp;""</f>
        <v>탐색</v>
      </c>
      <c r="D103" s="19" t="str">
        <f>INDEX(메뉴구조!$D$5:$D$300,MATCH($A103,메뉴구조!$A$5:$A$300,0))&amp;""</f>
        <v>가게 상세</v>
      </c>
      <c r="E103" s="19" t="str">
        <f>INDEX(메뉴구조!$E$5:$E$300,MATCH($A103,메뉴구조!$A$5:$A$300,0))&amp;""</f>
        <v>커뮤니티</v>
      </c>
      <c r="F103" s="9" t="str">
        <f>INDEX(메뉴구조!$G$5:$G$300,MATCH($A103,메뉴구조!$A$5:$A$300,0))&amp;""</f>
        <v>백년가게 / 탐색 / 가게 상세 / 커뮤니티</v>
      </c>
      <c r="G103" s="18">
        <v>1</v>
      </c>
      <c r="H103" s="9" t="s">
        <v>785</v>
      </c>
      <c r="I103" s="9" t="s">
        <v>786</v>
      </c>
      <c r="J103" s="9"/>
      <c r="K103" s="18" t="s">
        <v>17</v>
      </c>
      <c r="L103" s="9"/>
      <c r="M103" s="9"/>
    </row>
    <row r="104" spans="1:13" ht="62.5" hidden="1">
      <c r="A104" s="18" t="s">
        <v>104</v>
      </c>
      <c r="B104" s="19" t="str">
        <f>INDEX(메뉴구조!$B$5:$B$300,MATCH($A104,메뉴구조!$A$5:$A$300,0))&amp;""</f>
        <v>백년가게</v>
      </c>
      <c r="C104" s="19" t="str">
        <f>INDEX(메뉴구조!$C$5:$C$300,MATCH($A104,메뉴구조!$A$5:$A$300,0))&amp;""</f>
        <v>탐색</v>
      </c>
      <c r="D104" s="19" t="str">
        <f>INDEX(메뉴구조!$D$5:$D$300,MATCH($A104,메뉴구조!$A$5:$A$300,0))&amp;""</f>
        <v>가게 상세</v>
      </c>
      <c r="E104" s="19" t="str">
        <f>INDEX(메뉴구조!$E$5:$E$300,MATCH($A104,메뉴구조!$A$5:$A$300,0))&amp;""</f>
        <v>커뮤니티</v>
      </c>
      <c r="F104" s="9" t="str">
        <f>INDEX(메뉴구조!$G$5:$G$300,MATCH($A104,메뉴구조!$A$5:$A$300,0))&amp;""</f>
        <v>백년가게 / 탐색 / 가게 상세 / 커뮤니티</v>
      </c>
      <c r="G104" s="18">
        <v>2</v>
      </c>
      <c r="H104" s="9" t="s">
        <v>787</v>
      </c>
      <c r="I104" s="9" t="s">
        <v>788</v>
      </c>
      <c r="J104" s="9"/>
      <c r="K104" s="18" t="s">
        <v>17</v>
      </c>
      <c r="L104" s="9"/>
      <c r="M104" s="9"/>
    </row>
    <row r="105" spans="1:13" ht="25" hidden="1">
      <c r="A105" s="18" t="s">
        <v>104</v>
      </c>
      <c r="B105" s="19" t="str">
        <f>INDEX(메뉴구조!$B$5:$B$300,MATCH($A105,메뉴구조!$A$5:$A$300,0))&amp;""</f>
        <v>백년가게</v>
      </c>
      <c r="C105" s="19" t="str">
        <f>INDEX(메뉴구조!$C$5:$C$300,MATCH($A105,메뉴구조!$A$5:$A$300,0))&amp;""</f>
        <v>탐색</v>
      </c>
      <c r="D105" s="19" t="str">
        <f>INDEX(메뉴구조!$D$5:$D$300,MATCH($A105,메뉴구조!$A$5:$A$300,0))&amp;""</f>
        <v>가게 상세</v>
      </c>
      <c r="E105" s="19" t="str">
        <f>INDEX(메뉴구조!$E$5:$E$300,MATCH($A105,메뉴구조!$A$5:$A$300,0))&amp;""</f>
        <v>커뮤니티</v>
      </c>
      <c r="F105" s="9" t="str">
        <f>INDEX(메뉴구조!$G$5:$G$300,MATCH($A105,메뉴구조!$A$5:$A$300,0))&amp;""</f>
        <v>백년가게 / 탐색 / 가게 상세 / 커뮤니티</v>
      </c>
      <c r="G105" s="18">
        <v>3</v>
      </c>
      <c r="H105" s="9" t="s">
        <v>789</v>
      </c>
      <c r="I105" s="9" t="s">
        <v>790</v>
      </c>
      <c r="J105" s="9"/>
      <c r="K105" s="18" t="s">
        <v>17</v>
      </c>
      <c r="L105" s="9"/>
      <c r="M105" s="9"/>
    </row>
    <row r="106" spans="1:13" ht="37.5" hidden="1">
      <c r="A106" s="18" t="s">
        <v>104</v>
      </c>
      <c r="B106" s="19" t="str">
        <f>INDEX(메뉴구조!$B$5:$B$300,MATCH($A106,메뉴구조!$A$5:$A$300,0))&amp;""</f>
        <v>백년가게</v>
      </c>
      <c r="C106" s="19" t="str">
        <f>INDEX(메뉴구조!$C$5:$C$300,MATCH($A106,메뉴구조!$A$5:$A$300,0))&amp;""</f>
        <v>탐색</v>
      </c>
      <c r="D106" s="19" t="str">
        <f>INDEX(메뉴구조!$D$5:$D$300,MATCH($A106,메뉴구조!$A$5:$A$300,0))&amp;""</f>
        <v>가게 상세</v>
      </c>
      <c r="E106" s="19" t="str">
        <f>INDEX(메뉴구조!$E$5:$E$300,MATCH($A106,메뉴구조!$A$5:$A$300,0))&amp;""</f>
        <v>커뮤니티</v>
      </c>
      <c r="F106" s="9" t="str">
        <f>INDEX(메뉴구조!$G$5:$G$300,MATCH($A106,메뉴구조!$A$5:$A$300,0))&amp;""</f>
        <v>백년가게 / 탐색 / 가게 상세 / 커뮤니티</v>
      </c>
      <c r="G106" s="18">
        <v>4</v>
      </c>
      <c r="H106" s="9" t="s">
        <v>791</v>
      </c>
      <c r="I106" s="9" t="s">
        <v>792</v>
      </c>
      <c r="J106" s="9"/>
      <c r="K106" s="18" t="s">
        <v>17</v>
      </c>
      <c r="L106" s="9"/>
      <c r="M106" s="9"/>
    </row>
    <row r="107" spans="1:13" ht="37.5" hidden="1">
      <c r="A107" s="18" t="s">
        <v>106</v>
      </c>
      <c r="B107" s="19" t="str">
        <f>INDEX(메뉴구조!$B$5:$B$300,MATCH($A107,메뉴구조!$A$5:$A$300,0))&amp;""</f>
        <v>백년가게</v>
      </c>
      <c r="C107" s="19" t="str">
        <f>INDEX(메뉴구조!$C$5:$C$300,MATCH($A107,메뉴구조!$A$5:$A$300,0))&amp;""</f>
        <v>탐색</v>
      </c>
      <c r="D107" s="19" t="str">
        <f>INDEX(메뉴구조!$D$5:$D$300,MATCH($A107,메뉴구조!$A$5:$A$300,0))&amp;""</f>
        <v>가게 상세</v>
      </c>
      <c r="E107" s="19" t="str">
        <f>INDEX(메뉴구조!$E$5:$E$300,MATCH($A107,메뉴구조!$A$5:$A$300,0))&amp;""</f>
        <v>혜택</v>
      </c>
      <c r="F107" s="9" t="str">
        <f>INDEX(메뉴구조!$G$5:$G$300,MATCH($A107,메뉴구조!$A$5:$A$300,0))&amp;""</f>
        <v>백년가게 / 탐색 / 가게 상세 / 혜택</v>
      </c>
      <c r="G107" s="18">
        <v>1</v>
      </c>
      <c r="H107" s="9" t="s">
        <v>793</v>
      </c>
      <c r="I107" s="9" t="s">
        <v>794</v>
      </c>
      <c r="J107" s="9"/>
      <c r="K107" s="18" t="s">
        <v>17</v>
      </c>
      <c r="L107" s="9"/>
      <c r="M107" s="9"/>
    </row>
    <row r="108" spans="1:13" ht="50" hidden="1">
      <c r="A108" s="18" t="s">
        <v>108</v>
      </c>
      <c r="B108" s="19" t="str">
        <f>INDEX(메뉴구조!$B$5:$B$300,MATCH($A108,메뉴구조!$A$5:$A$300,0))&amp;""</f>
        <v>백년가게</v>
      </c>
      <c r="C108" s="19" t="str">
        <f>INDEX(메뉴구조!$C$5:$C$300,MATCH($A108,메뉴구조!$A$5:$A$300,0))&amp;""</f>
        <v>내 주변</v>
      </c>
      <c r="D108" s="19" t="str">
        <f>INDEX(메뉴구조!$D$5:$D$300,MATCH($A108,메뉴구조!$A$5:$A$300,0))&amp;""</f>
        <v>—</v>
      </c>
      <c r="E108" s="19" t="str">
        <f>INDEX(메뉴구조!$E$5:$E$300,MATCH($A108,메뉴구조!$A$5:$A$300,0))&amp;""</f>
        <v>—</v>
      </c>
      <c r="F108" s="9" t="str">
        <f>INDEX(메뉴구조!$G$5:$G$300,MATCH($A108,메뉴구조!$A$5:$A$300,0))&amp;""</f>
        <v>백년가게 / 내 주변</v>
      </c>
      <c r="G108" s="18">
        <v>1</v>
      </c>
      <c r="H108" s="9" t="s">
        <v>795</v>
      </c>
      <c r="I108" s="9" t="s">
        <v>796</v>
      </c>
      <c r="J108" s="9"/>
      <c r="K108" s="18" t="s">
        <v>17</v>
      </c>
      <c r="L108" s="9"/>
      <c r="M108" s="9"/>
    </row>
    <row r="109" spans="1:13" ht="100" hidden="1">
      <c r="A109" s="18" t="s">
        <v>108</v>
      </c>
      <c r="B109" s="19" t="str">
        <f>INDEX(메뉴구조!$B$5:$B$300,MATCH($A109,메뉴구조!$A$5:$A$300,0))&amp;""</f>
        <v>백년가게</v>
      </c>
      <c r="C109" s="19" t="str">
        <f>INDEX(메뉴구조!$C$5:$C$300,MATCH($A109,메뉴구조!$A$5:$A$300,0))&amp;""</f>
        <v>내 주변</v>
      </c>
      <c r="D109" s="19" t="str">
        <f>INDEX(메뉴구조!$D$5:$D$300,MATCH($A109,메뉴구조!$A$5:$A$300,0))&amp;""</f>
        <v>—</v>
      </c>
      <c r="E109" s="19" t="str">
        <f>INDEX(메뉴구조!$E$5:$E$300,MATCH($A109,메뉴구조!$A$5:$A$300,0))&amp;""</f>
        <v>—</v>
      </c>
      <c r="F109" s="9" t="str">
        <f>INDEX(메뉴구조!$G$5:$G$300,MATCH($A109,메뉴구조!$A$5:$A$300,0))&amp;""</f>
        <v>백년가게 / 내 주변</v>
      </c>
      <c r="G109" s="18">
        <v>2</v>
      </c>
      <c r="H109" s="9" t="s">
        <v>797</v>
      </c>
      <c r="I109" s="9" t="s">
        <v>798</v>
      </c>
      <c r="J109" s="9"/>
      <c r="K109" s="18" t="s">
        <v>17</v>
      </c>
      <c r="L109" s="9"/>
      <c r="M109" s="9"/>
    </row>
    <row r="110" spans="1:13" ht="25" hidden="1">
      <c r="A110" s="18" t="s">
        <v>108</v>
      </c>
      <c r="B110" s="19" t="str">
        <f>INDEX(메뉴구조!$B$5:$B$300,MATCH($A110,메뉴구조!$A$5:$A$300,0))&amp;""</f>
        <v>백년가게</v>
      </c>
      <c r="C110" s="19" t="str">
        <f>INDEX(메뉴구조!$C$5:$C$300,MATCH($A110,메뉴구조!$A$5:$A$300,0))&amp;""</f>
        <v>내 주변</v>
      </c>
      <c r="D110" s="19" t="str">
        <f>INDEX(메뉴구조!$D$5:$D$300,MATCH($A110,메뉴구조!$A$5:$A$300,0))&amp;""</f>
        <v>—</v>
      </c>
      <c r="E110" s="19" t="str">
        <f>INDEX(메뉴구조!$E$5:$E$300,MATCH($A110,메뉴구조!$A$5:$A$300,0))&amp;""</f>
        <v>—</v>
      </c>
      <c r="F110" s="9" t="str">
        <f>INDEX(메뉴구조!$G$5:$G$300,MATCH($A110,메뉴구조!$A$5:$A$300,0))&amp;""</f>
        <v>백년가게 / 내 주변</v>
      </c>
      <c r="G110" s="18">
        <v>3</v>
      </c>
      <c r="H110" s="9" t="s">
        <v>799</v>
      </c>
      <c r="I110" s="9" t="s">
        <v>800</v>
      </c>
      <c r="J110" s="9"/>
      <c r="K110" s="18" t="s">
        <v>17</v>
      </c>
      <c r="L110" s="9"/>
      <c r="M110" s="9"/>
    </row>
    <row r="111" spans="1:13" ht="62.5" hidden="1">
      <c r="A111" s="18" t="s">
        <v>108</v>
      </c>
      <c r="B111" s="19" t="str">
        <f>INDEX(메뉴구조!$B$5:$B$300,MATCH($A111,메뉴구조!$A$5:$A$300,0))&amp;""</f>
        <v>백년가게</v>
      </c>
      <c r="C111" s="19" t="str">
        <f>INDEX(메뉴구조!$C$5:$C$300,MATCH($A111,메뉴구조!$A$5:$A$300,0))&amp;""</f>
        <v>내 주변</v>
      </c>
      <c r="D111" s="19" t="str">
        <f>INDEX(메뉴구조!$D$5:$D$300,MATCH($A111,메뉴구조!$A$5:$A$300,0))&amp;""</f>
        <v>—</v>
      </c>
      <c r="E111" s="19" t="str">
        <f>INDEX(메뉴구조!$E$5:$E$300,MATCH($A111,메뉴구조!$A$5:$A$300,0))&amp;""</f>
        <v>—</v>
      </c>
      <c r="F111" s="9" t="str">
        <f>INDEX(메뉴구조!$G$5:$G$300,MATCH($A111,메뉴구조!$A$5:$A$300,0))&amp;""</f>
        <v>백년가게 / 내 주변</v>
      </c>
      <c r="G111" s="18">
        <v>4</v>
      </c>
      <c r="H111" s="9" t="s">
        <v>801</v>
      </c>
      <c r="I111" s="9" t="s">
        <v>802</v>
      </c>
      <c r="J111" s="9"/>
      <c r="K111" s="18" t="s">
        <v>17</v>
      </c>
      <c r="L111" s="9"/>
      <c r="M111" s="9"/>
    </row>
    <row r="112" spans="1:13" ht="75" hidden="1">
      <c r="A112" s="18" t="s">
        <v>108</v>
      </c>
      <c r="B112" s="19" t="str">
        <f>INDEX(메뉴구조!$B$5:$B$300,MATCH($A112,메뉴구조!$A$5:$A$300,0))&amp;""</f>
        <v>백년가게</v>
      </c>
      <c r="C112" s="19" t="str">
        <f>INDEX(메뉴구조!$C$5:$C$300,MATCH($A112,메뉴구조!$A$5:$A$300,0))&amp;""</f>
        <v>내 주변</v>
      </c>
      <c r="D112" s="19" t="str">
        <f>INDEX(메뉴구조!$D$5:$D$300,MATCH($A112,메뉴구조!$A$5:$A$300,0))&amp;""</f>
        <v>—</v>
      </c>
      <c r="E112" s="19" t="str">
        <f>INDEX(메뉴구조!$E$5:$E$300,MATCH($A112,메뉴구조!$A$5:$A$300,0))&amp;""</f>
        <v>—</v>
      </c>
      <c r="F112" s="9" t="str">
        <f>INDEX(메뉴구조!$G$5:$G$300,MATCH($A112,메뉴구조!$A$5:$A$300,0))&amp;""</f>
        <v>백년가게 / 내 주변</v>
      </c>
      <c r="G112" s="18">
        <v>5</v>
      </c>
      <c r="H112" s="9" t="s">
        <v>803</v>
      </c>
      <c r="I112" s="9" t="s">
        <v>804</v>
      </c>
      <c r="J112" s="9"/>
      <c r="K112" s="18" t="s">
        <v>17</v>
      </c>
      <c r="L112" s="9"/>
      <c r="M112" s="9"/>
    </row>
    <row r="113" spans="1:13" hidden="1">
      <c r="A113" s="18" t="s">
        <v>110</v>
      </c>
      <c r="B113" s="19" t="str">
        <f>INDEX(메뉴구조!$B$5:$B$300,MATCH($A113,메뉴구조!$A$5:$A$300,0))&amp;""</f>
        <v>백년가게</v>
      </c>
      <c r="C113" s="19" t="str">
        <f>INDEX(메뉴구조!$C$5:$C$300,MATCH($A113,메뉴구조!$A$5:$A$300,0))&amp;""</f>
        <v>백년가게?</v>
      </c>
      <c r="D113" s="19" t="str">
        <f>INDEX(메뉴구조!$D$5:$D$300,MATCH($A113,메뉴구조!$A$5:$A$300,0))&amp;""</f>
        <v>—</v>
      </c>
      <c r="E113" s="19" t="str">
        <f>INDEX(메뉴구조!$E$5:$E$300,MATCH($A113,메뉴구조!$A$5:$A$300,0))&amp;""</f>
        <v>—</v>
      </c>
      <c r="F113" s="9" t="str">
        <f>INDEX(메뉴구조!$G$5:$G$300,MATCH($A113,메뉴구조!$A$5:$A$300,0))&amp;""</f>
        <v>백년가게 / 백년가게?</v>
      </c>
      <c r="G113" s="18">
        <v>1</v>
      </c>
      <c r="H113" s="9" t="s">
        <v>805</v>
      </c>
      <c r="I113" s="9" t="s">
        <v>806</v>
      </c>
      <c r="J113" s="9"/>
      <c r="K113" s="18" t="s">
        <v>17</v>
      </c>
      <c r="L113" s="9"/>
      <c r="M113" s="9"/>
    </row>
    <row r="114" spans="1:13" ht="62.5" hidden="1">
      <c r="A114" s="18" t="s">
        <v>112</v>
      </c>
      <c r="B114" s="19" t="str">
        <f>INDEX(메뉴구조!$B$5:$B$300,MATCH($A114,메뉴구조!$A$5:$A$300,0))&amp;""</f>
        <v>거래</v>
      </c>
      <c r="C114" s="19" t="str">
        <f>INDEX(메뉴구조!$C$5:$C$300,MATCH($A114,메뉴구조!$A$5:$A$300,0))&amp;""</f>
        <v>종목</v>
      </c>
      <c r="D114" s="19" t="str">
        <f>INDEX(메뉴구조!$D$5:$D$300,MATCH($A114,메뉴구조!$A$5:$A$300,0))&amp;""</f>
        <v>—</v>
      </c>
      <c r="E114" s="19" t="str">
        <f>INDEX(메뉴구조!$E$5:$E$300,MATCH($A114,메뉴구조!$A$5:$A$300,0))&amp;""</f>
        <v>—</v>
      </c>
      <c r="F114" s="9" t="str">
        <f>INDEX(메뉴구조!$G$5:$G$300,MATCH($A114,메뉴구조!$A$5:$A$300,0))&amp;""</f>
        <v>거래 / 종목</v>
      </c>
      <c r="G114" s="18">
        <v>1</v>
      </c>
      <c r="H114" s="31" t="s">
        <v>807</v>
      </c>
      <c r="I114" s="31" t="s">
        <v>808</v>
      </c>
      <c r="J114" s="9"/>
      <c r="K114" s="20" t="s">
        <v>9</v>
      </c>
      <c r="L114" s="9" t="s">
        <v>809</v>
      </c>
      <c r="M114" s="9" t="s">
        <v>810</v>
      </c>
    </row>
    <row r="115" spans="1:13" ht="112.5" hidden="1">
      <c r="A115" s="18" t="s">
        <v>112</v>
      </c>
      <c r="B115" s="19" t="str">
        <f>INDEX(메뉴구조!$B$5:$B$300,MATCH($A115,메뉴구조!$A$5:$A$300,0))&amp;""</f>
        <v>거래</v>
      </c>
      <c r="C115" s="19" t="str">
        <f>INDEX(메뉴구조!$C$5:$C$300,MATCH($A115,메뉴구조!$A$5:$A$300,0))&amp;""</f>
        <v>종목</v>
      </c>
      <c r="D115" s="19" t="str">
        <f>INDEX(메뉴구조!$D$5:$D$300,MATCH($A115,메뉴구조!$A$5:$A$300,0))&amp;""</f>
        <v>—</v>
      </c>
      <c r="E115" s="19" t="str">
        <f>INDEX(메뉴구조!$E$5:$E$300,MATCH($A115,메뉴구조!$A$5:$A$300,0))&amp;""</f>
        <v>—</v>
      </c>
      <c r="F115" s="9" t="str">
        <f>INDEX(메뉴구조!$G$5:$G$300,MATCH($A115,메뉴구조!$A$5:$A$300,0))&amp;""</f>
        <v>거래 / 종목</v>
      </c>
      <c r="G115" s="18">
        <v>2</v>
      </c>
      <c r="H115" s="9" t="s">
        <v>811</v>
      </c>
      <c r="I115" s="9" t="s">
        <v>812</v>
      </c>
      <c r="J115" s="9" t="s">
        <v>813</v>
      </c>
      <c r="K115" s="18" t="s">
        <v>17</v>
      </c>
      <c r="L115" s="9"/>
      <c r="M115" s="9"/>
    </row>
    <row r="116" spans="1:13" ht="87.5" hidden="1">
      <c r="A116" s="18" t="s">
        <v>112</v>
      </c>
      <c r="B116" s="19" t="str">
        <f>INDEX(메뉴구조!$B$5:$B$300,MATCH($A116,메뉴구조!$A$5:$A$300,0))&amp;""</f>
        <v>거래</v>
      </c>
      <c r="C116" s="19" t="str">
        <f>INDEX(메뉴구조!$C$5:$C$300,MATCH($A116,메뉴구조!$A$5:$A$300,0))&amp;""</f>
        <v>종목</v>
      </c>
      <c r="D116" s="19" t="str">
        <f>INDEX(메뉴구조!$D$5:$D$300,MATCH($A116,메뉴구조!$A$5:$A$300,0))&amp;""</f>
        <v>—</v>
      </c>
      <c r="E116" s="19" t="str">
        <f>INDEX(메뉴구조!$E$5:$E$300,MATCH($A116,메뉴구조!$A$5:$A$300,0))&amp;""</f>
        <v>—</v>
      </c>
      <c r="F116" s="9" t="str">
        <f>INDEX(메뉴구조!$G$5:$G$300,MATCH($A116,메뉴구조!$A$5:$A$300,0))&amp;""</f>
        <v>거래 / 종목</v>
      </c>
      <c r="G116" s="18">
        <v>3</v>
      </c>
      <c r="H116" s="9" t="s">
        <v>814</v>
      </c>
      <c r="I116" s="9" t="s">
        <v>815</v>
      </c>
      <c r="J116" s="9" t="s">
        <v>816</v>
      </c>
      <c r="K116" s="18" t="s">
        <v>17</v>
      </c>
      <c r="L116" s="9"/>
      <c r="M116" s="9"/>
    </row>
    <row r="117" spans="1:13" ht="100" hidden="1">
      <c r="A117" s="18" t="s">
        <v>112</v>
      </c>
      <c r="B117" s="19" t="str">
        <f>INDEX(메뉴구조!$B$5:$B$300,MATCH($A117,메뉴구조!$A$5:$A$300,0))&amp;""</f>
        <v>거래</v>
      </c>
      <c r="C117" s="19" t="str">
        <f>INDEX(메뉴구조!$C$5:$C$300,MATCH($A117,메뉴구조!$A$5:$A$300,0))&amp;""</f>
        <v>종목</v>
      </c>
      <c r="D117" s="19" t="str">
        <f>INDEX(메뉴구조!$D$5:$D$300,MATCH($A117,메뉴구조!$A$5:$A$300,0))&amp;""</f>
        <v>—</v>
      </c>
      <c r="E117" s="19" t="str">
        <f>INDEX(메뉴구조!$E$5:$E$300,MATCH($A117,메뉴구조!$A$5:$A$300,0))&amp;""</f>
        <v>—</v>
      </c>
      <c r="F117" s="9" t="str">
        <f>INDEX(메뉴구조!$G$5:$G$300,MATCH($A117,메뉴구조!$A$5:$A$300,0))&amp;""</f>
        <v>거래 / 종목</v>
      </c>
      <c r="G117" s="18">
        <v>4</v>
      </c>
      <c r="H117" s="31" t="s">
        <v>817</v>
      </c>
      <c r="I117" s="31" t="s">
        <v>818</v>
      </c>
      <c r="J117" s="9"/>
      <c r="K117" s="20" t="s">
        <v>9</v>
      </c>
      <c r="L117" s="9" t="s">
        <v>819</v>
      </c>
      <c r="M117" s="9" t="s">
        <v>820</v>
      </c>
    </row>
    <row r="118" spans="1:13" ht="112.5" hidden="1">
      <c r="A118" s="18" t="s">
        <v>112</v>
      </c>
      <c r="B118" s="19" t="str">
        <f>INDEX(메뉴구조!$B$5:$B$300,MATCH($A118,메뉴구조!$A$5:$A$300,0))&amp;""</f>
        <v>거래</v>
      </c>
      <c r="C118" s="19" t="str">
        <f>INDEX(메뉴구조!$C$5:$C$300,MATCH($A118,메뉴구조!$A$5:$A$300,0))&amp;""</f>
        <v>종목</v>
      </c>
      <c r="D118" s="19" t="str">
        <f>INDEX(메뉴구조!$D$5:$D$300,MATCH($A118,메뉴구조!$A$5:$A$300,0))&amp;""</f>
        <v>—</v>
      </c>
      <c r="E118" s="19" t="str">
        <f>INDEX(메뉴구조!$E$5:$E$300,MATCH($A118,메뉴구조!$A$5:$A$300,0))&amp;""</f>
        <v>—</v>
      </c>
      <c r="F118" s="9" t="str">
        <f>INDEX(메뉴구조!$G$5:$G$300,MATCH($A118,메뉴구조!$A$5:$A$300,0))&amp;""</f>
        <v>거래 / 종목</v>
      </c>
      <c r="G118" s="18">
        <v>5</v>
      </c>
      <c r="H118" s="31" t="s">
        <v>821</v>
      </c>
      <c r="I118" s="31" t="s">
        <v>822</v>
      </c>
      <c r="J118" s="9"/>
      <c r="K118" s="20" t="s">
        <v>9</v>
      </c>
      <c r="L118" s="9" t="s">
        <v>823</v>
      </c>
      <c r="M118" s="9" t="s">
        <v>824</v>
      </c>
    </row>
    <row r="119" spans="1:13" ht="62.5" hidden="1">
      <c r="A119" s="18" t="s">
        <v>112</v>
      </c>
      <c r="B119" s="19" t="str">
        <f>INDEX(메뉴구조!$B$5:$B$300,MATCH($A119,메뉴구조!$A$5:$A$300,0))&amp;""</f>
        <v>거래</v>
      </c>
      <c r="C119" s="19" t="str">
        <f>INDEX(메뉴구조!$C$5:$C$300,MATCH($A119,메뉴구조!$A$5:$A$300,0))&amp;""</f>
        <v>종목</v>
      </c>
      <c r="D119" s="19" t="str">
        <f>INDEX(메뉴구조!$D$5:$D$300,MATCH($A119,메뉴구조!$A$5:$A$300,0))&amp;""</f>
        <v>—</v>
      </c>
      <c r="E119" s="19" t="str">
        <f>INDEX(메뉴구조!$E$5:$E$300,MATCH($A119,메뉴구조!$A$5:$A$300,0))&amp;""</f>
        <v>—</v>
      </c>
      <c r="F119" s="9" t="str">
        <f>INDEX(메뉴구조!$G$5:$G$300,MATCH($A119,메뉴구조!$A$5:$A$300,0))&amp;""</f>
        <v>거래 / 종목</v>
      </c>
      <c r="G119" s="18">
        <v>6</v>
      </c>
      <c r="H119" s="28" t="s">
        <v>825</v>
      </c>
      <c r="I119" s="28" t="s">
        <v>826</v>
      </c>
      <c r="J119" s="28"/>
      <c r="K119" s="18" t="s">
        <v>15</v>
      </c>
      <c r="L119" s="9" t="s">
        <v>827</v>
      </c>
      <c r="M119" s="9"/>
    </row>
    <row r="120" spans="1:13" ht="75" hidden="1">
      <c r="A120" s="18" t="s">
        <v>112</v>
      </c>
      <c r="B120" s="19" t="str">
        <f>INDEX(메뉴구조!$B$5:$B$300,MATCH($A120,메뉴구조!$A$5:$A$300,0))&amp;""</f>
        <v>거래</v>
      </c>
      <c r="C120" s="19" t="str">
        <f>INDEX(메뉴구조!$C$5:$C$300,MATCH($A120,메뉴구조!$A$5:$A$300,0))&amp;""</f>
        <v>종목</v>
      </c>
      <c r="D120" s="19" t="str">
        <f>INDEX(메뉴구조!$D$5:$D$300,MATCH($A120,메뉴구조!$A$5:$A$300,0))&amp;""</f>
        <v>—</v>
      </c>
      <c r="E120" s="19" t="str">
        <f>INDEX(메뉴구조!$E$5:$E$300,MATCH($A120,메뉴구조!$A$5:$A$300,0))&amp;""</f>
        <v>—</v>
      </c>
      <c r="F120" s="9" t="str">
        <f>INDEX(메뉴구조!$G$5:$G$300,MATCH($A120,메뉴구조!$A$5:$A$300,0))&amp;""</f>
        <v>거래 / 종목</v>
      </c>
      <c r="G120" s="18">
        <v>7</v>
      </c>
      <c r="H120" s="28" t="s">
        <v>828</v>
      </c>
      <c r="I120" s="28" t="s">
        <v>829</v>
      </c>
      <c r="J120" s="28"/>
      <c r="K120" s="18" t="s">
        <v>15</v>
      </c>
      <c r="L120" s="9" t="s">
        <v>830</v>
      </c>
      <c r="M120" s="9"/>
    </row>
    <row r="121" spans="1:13" ht="50" hidden="1">
      <c r="A121" s="18" t="s">
        <v>112</v>
      </c>
      <c r="B121" s="19" t="str">
        <f>INDEX(메뉴구조!$B$5:$B$300,MATCH($A121,메뉴구조!$A$5:$A$300,0))&amp;""</f>
        <v>거래</v>
      </c>
      <c r="C121" s="19" t="str">
        <f>INDEX(메뉴구조!$C$5:$C$300,MATCH($A121,메뉴구조!$A$5:$A$300,0))&amp;""</f>
        <v>종목</v>
      </c>
      <c r="D121" s="19" t="str">
        <f>INDEX(메뉴구조!$D$5:$D$300,MATCH($A121,메뉴구조!$A$5:$A$300,0))&amp;""</f>
        <v>—</v>
      </c>
      <c r="E121" s="19" t="str">
        <f>INDEX(메뉴구조!$E$5:$E$300,MATCH($A121,메뉴구조!$A$5:$A$300,0))&amp;""</f>
        <v>—</v>
      </c>
      <c r="F121" s="9" t="str">
        <f>INDEX(메뉴구조!$G$5:$G$300,MATCH($A121,메뉴구조!$A$5:$A$300,0))&amp;""</f>
        <v>거래 / 종목</v>
      </c>
      <c r="G121" s="18">
        <v>8</v>
      </c>
      <c r="H121" s="9" t="s">
        <v>831</v>
      </c>
      <c r="I121" s="9" t="s">
        <v>832</v>
      </c>
      <c r="J121" s="9"/>
      <c r="K121" s="18" t="s">
        <v>17</v>
      </c>
      <c r="L121" s="9"/>
      <c r="M121" s="9"/>
    </row>
    <row r="122" spans="1:13" ht="50" hidden="1">
      <c r="A122" s="18" t="s">
        <v>112</v>
      </c>
      <c r="B122" s="19" t="str">
        <f>INDEX(메뉴구조!$B$5:$B$300,MATCH($A122,메뉴구조!$A$5:$A$300,0))&amp;""</f>
        <v>거래</v>
      </c>
      <c r="C122" s="19" t="str">
        <f>INDEX(메뉴구조!$C$5:$C$300,MATCH($A122,메뉴구조!$A$5:$A$300,0))&amp;""</f>
        <v>종목</v>
      </c>
      <c r="D122" s="19" t="str">
        <f>INDEX(메뉴구조!$D$5:$D$300,MATCH($A122,메뉴구조!$A$5:$A$300,0))&amp;""</f>
        <v>—</v>
      </c>
      <c r="E122" s="19" t="str">
        <f>INDEX(메뉴구조!$E$5:$E$300,MATCH($A122,메뉴구조!$A$5:$A$300,0))&amp;""</f>
        <v>—</v>
      </c>
      <c r="F122" s="9" t="str">
        <f>INDEX(메뉴구조!$G$5:$G$300,MATCH($A122,메뉴구조!$A$5:$A$300,0))&amp;""</f>
        <v>거래 / 종목</v>
      </c>
      <c r="G122" s="18">
        <v>9</v>
      </c>
      <c r="H122" s="9" t="s">
        <v>552</v>
      </c>
      <c r="I122" s="9" t="s">
        <v>833</v>
      </c>
      <c r="J122" s="9"/>
      <c r="K122" s="18" t="s">
        <v>17</v>
      </c>
      <c r="L122" s="9"/>
      <c r="M122" s="9"/>
    </row>
    <row r="123" spans="1:13" hidden="1">
      <c r="A123" s="18" t="s">
        <v>112</v>
      </c>
      <c r="B123" s="19" t="str">
        <f>INDEX(메뉴구조!$B$5:$B$300,MATCH($A123,메뉴구조!$A$5:$A$300,0))&amp;""</f>
        <v>거래</v>
      </c>
      <c r="C123" s="19" t="str">
        <f>INDEX(메뉴구조!$C$5:$C$300,MATCH($A123,메뉴구조!$A$5:$A$300,0))&amp;""</f>
        <v>종목</v>
      </c>
      <c r="D123" s="19" t="str">
        <f>INDEX(메뉴구조!$D$5:$D$300,MATCH($A123,메뉴구조!$A$5:$A$300,0))&amp;""</f>
        <v>—</v>
      </c>
      <c r="E123" s="19" t="str">
        <f>INDEX(메뉴구조!$E$5:$E$300,MATCH($A123,메뉴구조!$A$5:$A$300,0))&amp;""</f>
        <v>—</v>
      </c>
      <c r="F123" s="9" t="str">
        <f>INDEX(메뉴구조!$G$5:$G$300,MATCH($A123,메뉴구조!$A$5:$A$300,0))&amp;""</f>
        <v>거래 / 종목</v>
      </c>
      <c r="G123" s="18">
        <v>10</v>
      </c>
      <c r="H123" s="9" t="s">
        <v>834</v>
      </c>
      <c r="I123" s="9" t="s">
        <v>835</v>
      </c>
      <c r="J123" s="9"/>
      <c r="K123" s="18" t="s">
        <v>17</v>
      </c>
      <c r="L123" s="9"/>
      <c r="M123" s="9"/>
    </row>
    <row r="124" spans="1:13" ht="37.5" hidden="1">
      <c r="A124" s="18" t="s">
        <v>112</v>
      </c>
      <c r="B124" s="19" t="str">
        <f>INDEX(메뉴구조!$B$5:$B$300,MATCH($A124,메뉴구조!$A$5:$A$300,0))&amp;""</f>
        <v>거래</v>
      </c>
      <c r="C124" s="19" t="str">
        <f>INDEX(메뉴구조!$C$5:$C$300,MATCH($A124,메뉴구조!$A$5:$A$300,0))&amp;""</f>
        <v>종목</v>
      </c>
      <c r="D124" s="19" t="str">
        <f>INDEX(메뉴구조!$D$5:$D$300,MATCH($A124,메뉴구조!$A$5:$A$300,0))&amp;""</f>
        <v>—</v>
      </c>
      <c r="E124" s="19" t="str">
        <f>INDEX(메뉴구조!$E$5:$E$300,MATCH($A124,메뉴구조!$A$5:$A$300,0))&amp;""</f>
        <v>—</v>
      </c>
      <c r="F124" s="9" t="str">
        <f>INDEX(메뉴구조!$G$5:$G$300,MATCH($A124,메뉴구조!$A$5:$A$300,0))&amp;""</f>
        <v>거래 / 종목</v>
      </c>
      <c r="G124" s="18">
        <v>11</v>
      </c>
      <c r="H124" s="9" t="s">
        <v>836</v>
      </c>
      <c r="I124" s="9" t="s">
        <v>837</v>
      </c>
      <c r="J124" s="9"/>
      <c r="K124" s="18" t="s">
        <v>17</v>
      </c>
      <c r="L124" s="9"/>
      <c r="M124" s="9"/>
    </row>
    <row r="125" spans="1:13" ht="37.5" hidden="1">
      <c r="A125" s="18" t="s">
        <v>112</v>
      </c>
      <c r="B125" s="19" t="str">
        <f>INDEX(메뉴구조!$B$5:$B$300,MATCH($A125,메뉴구조!$A$5:$A$300,0))&amp;""</f>
        <v>거래</v>
      </c>
      <c r="C125" s="19" t="str">
        <f>INDEX(메뉴구조!$C$5:$C$300,MATCH($A125,메뉴구조!$A$5:$A$300,0))&amp;""</f>
        <v>종목</v>
      </c>
      <c r="D125" s="19" t="str">
        <f>INDEX(메뉴구조!$D$5:$D$300,MATCH($A125,메뉴구조!$A$5:$A$300,0))&amp;""</f>
        <v>—</v>
      </c>
      <c r="E125" s="19" t="str">
        <f>INDEX(메뉴구조!$E$5:$E$300,MATCH($A125,메뉴구조!$A$5:$A$300,0))&amp;""</f>
        <v>—</v>
      </c>
      <c r="F125" s="9" t="str">
        <f>INDEX(메뉴구조!$G$5:$G$300,MATCH($A125,메뉴구조!$A$5:$A$300,0))&amp;""</f>
        <v>거래 / 종목</v>
      </c>
      <c r="G125" s="18">
        <v>12</v>
      </c>
      <c r="H125" s="9" t="s">
        <v>838</v>
      </c>
      <c r="I125" s="9" t="s">
        <v>839</v>
      </c>
      <c r="J125" s="9"/>
      <c r="K125" s="18" t="s">
        <v>17</v>
      </c>
      <c r="L125" s="9"/>
      <c r="M125" s="9"/>
    </row>
    <row r="126" spans="1:13" ht="50" hidden="1">
      <c r="A126" s="18" t="s">
        <v>112</v>
      </c>
      <c r="B126" s="19" t="str">
        <f>INDEX(메뉴구조!$B$5:$B$300,MATCH($A126,메뉴구조!$A$5:$A$300,0))&amp;""</f>
        <v>거래</v>
      </c>
      <c r="C126" s="19" t="str">
        <f>INDEX(메뉴구조!$C$5:$C$300,MATCH($A126,메뉴구조!$A$5:$A$300,0))&amp;""</f>
        <v>종목</v>
      </c>
      <c r="D126" s="19" t="str">
        <f>INDEX(메뉴구조!$D$5:$D$300,MATCH($A126,메뉴구조!$A$5:$A$300,0))&amp;""</f>
        <v>—</v>
      </c>
      <c r="E126" s="19" t="str">
        <f>INDEX(메뉴구조!$E$5:$E$300,MATCH($A126,메뉴구조!$A$5:$A$300,0))&amp;""</f>
        <v>—</v>
      </c>
      <c r="F126" s="9" t="str">
        <f>INDEX(메뉴구조!$G$5:$G$300,MATCH($A126,메뉴구조!$A$5:$A$300,0))&amp;""</f>
        <v>거래 / 종목</v>
      </c>
      <c r="G126" s="18">
        <v>13</v>
      </c>
      <c r="H126" s="32" t="s">
        <v>736</v>
      </c>
      <c r="I126" s="32" t="s">
        <v>840</v>
      </c>
      <c r="J126" s="32" t="s">
        <v>841</v>
      </c>
      <c r="K126" s="23" t="s">
        <v>7</v>
      </c>
      <c r="L126" s="9" t="s">
        <v>739</v>
      </c>
      <c r="M126" s="9"/>
    </row>
    <row r="127" spans="1:13" ht="37.5" hidden="1">
      <c r="A127" s="18" t="s">
        <v>117</v>
      </c>
      <c r="B127" s="19" t="str">
        <f>INDEX(메뉴구조!$B$5:$B$300,MATCH($A127,메뉴구조!$A$5:$A$300,0))&amp;""</f>
        <v>거래</v>
      </c>
      <c r="C127" s="19" t="str">
        <f>INDEX(메뉴구조!$C$5:$C$300,MATCH($A127,메뉴구조!$A$5:$A$300,0))&amp;""</f>
        <v>종목</v>
      </c>
      <c r="D127" s="19" t="str">
        <f>INDEX(메뉴구조!$D$5:$D$300,MATCH($A127,메뉴구조!$A$5:$A$300,0))&amp;""</f>
        <v>정렬</v>
      </c>
      <c r="E127" s="19" t="str">
        <f>INDEX(메뉴구조!$E$5:$E$300,MATCH($A127,메뉴구조!$A$5:$A$300,0))&amp;""</f>
        <v>—</v>
      </c>
      <c r="F127" s="9" t="str">
        <f>INDEX(메뉴구조!$G$5:$G$300,MATCH($A127,메뉴구조!$A$5:$A$300,0))&amp;""</f>
        <v>거래 / 종목 / 정렬</v>
      </c>
      <c r="G127" s="18">
        <v>1</v>
      </c>
      <c r="H127" s="32" t="s">
        <v>842</v>
      </c>
      <c r="I127" s="32" t="s">
        <v>843</v>
      </c>
      <c r="J127" s="32"/>
      <c r="K127" s="23" t="s">
        <v>7</v>
      </c>
      <c r="L127" s="9" t="s">
        <v>844</v>
      </c>
      <c r="M127" s="9"/>
    </row>
    <row r="128" spans="1:13" ht="37.5" hidden="1">
      <c r="A128" s="18" t="s">
        <v>117</v>
      </c>
      <c r="B128" s="19" t="str">
        <f>INDEX(메뉴구조!$B$5:$B$300,MATCH($A128,메뉴구조!$A$5:$A$300,0))&amp;""</f>
        <v>거래</v>
      </c>
      <c r="C128" s="19" t="str">
        <f>INDEX(메뉴구조!$C$5:$C$300,MATCH($A128,메뉴구조!$A$5:$A$300,0))&amp;""</f>
        <v>종목</v>
      </c>
      <c r="D128" s="19" t="str">
        <f>INDEX(메뉴구조!$D$5:$D$300,MATCH($A128,메뉴구조!$A$5:$A$300,0))&amp;""</f>
        <v>정렬</v>
      </c>
      <c r="E128" s="19" t="str">
        <f>INDEX(메뉴구조!$E$5:$E$300,MATCH($A128,메뉴구조!$A$5:$A$300,0))&amp;""</f>
        <v>—</v>
      </c>
      <c r="F128" s="9" t="str">
        <f>INDEX(메뉴구조!$G$5:$G$300,MATCH($A128,메뉴구조!$A$5:$A$300,0))&amp;""</f>
        <v>거래 / 종목 / 정렬</v>
      </c>
      <c r="G128" s="18">
        <v>2</v>
      </c>
      <c r="H128" s="32" t="s">
        <v>845</v>
      </c>
      <c r="I128" s="32" t="s">
        <v>846</v>
      </c>
      <c r="J128" s="32"/>
      <c r="K128" s="23" t="s">
        <v>7</v>
      </c>
      <c r="L128" s="9" t="s">
        <v>844</v>
      </c>
      <c r="M128" s="9"/>
    </row>
    <row r="129" spans="1:13" ht="37.5" hidden="1">
      <c r="A129" s="18" t="s">
        <v>117</v>
      </c>
      <c r="B129" s="19" t="str">
        <f>INDEX(메뉴구조!$B$5:$B$300,MATCH($A129,메뉴구조!$A$5:$A$300,0))&amp;""</f>
        <v>거래</v>
      </c>
      <c r="C129" s="19" t="str">
        <f>INDEX(메뉴구조!$C$5:$C$300,MATCH($A129,메뉴구조!$A$5:$A$300,0))&amp;""</f>
        <v>종목</v>
      </c>
      <c r="D129" s="19" t="str">
        <f>INDEX(메뉴구조!$D$5:$D$300,MATCH($A129,메뉴구조!$A$5:$A$300,0))&amp;""</f>
        <v>정렬</v>
      </c>
      <c r="E129" s="19" t="str">
        <f>INDEX(메뉴구조!$E$5:$E$300,MATCH($A129,메뉴구조!$A$5:$A$300,0))&amp;""</f>
        <v>—</v>
      </c>
      <c r="F129" s="9" t="str">
        <f>INDEX(메뉴구조!$G$5:$G$300,MATCH($A129,메뉴구조!$A$5:$A$300,0))&amp;""</f>
        <v>거래 / 종목 / 정렬</v>
      </c>
      <c r="G129" s="18">
        <v>3</v>
      </c>
      <c r="H129" s="32" t="s">
        <v>847</v>
      </c>
      <c r="I129" s="32" t="s">
        <v>848</v>
      </c>
      <c r="J129" s="32"/>
      <c r="K129" s="23" t="s">
        <v>7</v>
      </c>
      <c r="L129" s="9" t="s">
        <v>844</v>
      </c>
      <c r="M129" s="9"/>
    </row>
    <row r="130" spans="1:13" ht="62.5" hidden="1">
      <c r="A130" s="18" t="s">
        <v>122</v>
      </c>
      <c r="B130" s="19" t="str">
        <f>INDEX(메뉴구조!$B$5:$B$300,MATCH($A130,메뉴구조!$A$5:$A$300,0))&amp;""</f>
        <v>거래</v>
      </c>
      <c r="C130" s="19" t="str">
        <f>INDEX(메뉴구조!$C$5:$C$300,MATCH($A130,메뉴구조!$A$5:$A$300,0))&amp;""</f>
        <v>종목</v>
      </c>
      <c r="D130" s="19" t="str">
        <f>INDEX(메뉴구조!$D$5:$D$300,MATCH($A130,메뉴구조!$A$5:$A$300,0))&amp;""</f>
        <v>종목상세</v>
      </c>
      <c r="E130" s="19" t="str">
        <f>INDEX(메뉴구조!$E$5:$E$300,MATCH($A130,메뉴구조!$A$5:$A$300,0))&amp;""</f>
        <v>정보</v>
      </c>
      <c r="F130" s="9" t="str">
        <f>INDEX(메뉴구조!$G$5:$G$300,MATCH($A130,메뉴구조!$A$5:$A$300,0))&amp;""</f>
        <v>거래 / 종목 / 종목상세 / 정보</v>
      </c>
      <c r="G130" s="18">
        <v>1</v>
      </c>
      <c r="H130" s="9" t="s">
        <v>849</v>
      </c>
      <c r="I130" s="9" t="s">
        <v>850</v>
      </c>
      <c r="J130" s="9"/>
      <c r="K130" s="25" t="s">
        <v>13</v>
      </c>
      <c r="L130" s="9" t="s">
        <v>851</v>
      </c>
      <c r="M130" s="9"/>
    </row>
    <row r="131" spans="1:13" ht="75" hidden="1">
      <c r="A131" s="18" t="s">
        <v>122</v>
      </c>
      <c r="B131" s="19" t="str">
        <f>INDEX(메뉴구조!$B$5:$B$300,MATCH($A131,메뉴구조!$A$5:$A$300,0))&amp;""</f>
        <v>거래</v>
      </c>
      <c r="C131" s="19" t="str">
        <f>INDEX(메뉴구조!$C$5:$C$300,MATCH($A131,메뉴구조!$A$5:$A$300,0))&amp;""</f>
        <v>종목</v>
      </c>
      <c r="D131" s="19" t="str">
        <f>INDEX(메뉴구조!$D$5:$D$300,MATCH($A131,메뉴구조!$A$5:$A$300,0))&amp;""</f>
        <v>종목상세</v>
      </c>
      <c r="E131" s="19" t="str">
        <f>INDEX(메뉴구조!$E$5:$E$300,MATCH($A131,메뉴구조!$A$5:$A$300,0))&amp;""</f>
        <v>정보</v>
      </c>
      <c r="F131" s="9" t="str">
        <f>INDEX(메뉴구조!$G$5:$G$300,MATCH($A131,메뉴구조!$A$5:$A$300,0))&amp;""</f>
        <v>거래 / 종목 / 종목상세 / 정보</v>
      </c>
      <c r="G131" s="18">
        <v>2</v>
      </c>
      <c r="H131" s="9" t="s">
        <v>852</v>
      </c>
      <c r="I131" s="9" t="s">
        <v>853</v>
      </c>
      <c r="J131" s="9"/>
      <c r="K131" s="25" t="s">
        <v>13</v>
      </c>
      <c r="L131" s="9" t="s">
        <v>851</v>
      </c>
      <c r="M131" s="9"/>
    </row>
    <row r="132" spans="1:13" ht="87.5" hidden="1">
      <c r="A132" s="18" t="s">
        <v>122</v>
      </c>
      <c r="B132" s="19" t="str">
        <f>INDEX(메뉴구조!$B$5:$B$300,MATCH($A132,메뉴구조!$A$5:$A$300,0))&amp;""</f>
        <v>거래</v>
      </c>
      <c r="C132" s="19" t="str">
        <f>INDEX(메뉴구조!$C$5:$C$300,MATCH($A132,메뉴구조!$A$5:$A$300,0))&amp;""</f>
        <v>종목</v>
      </c>
      <c r="D132" s="19" t="str">
        <f>INDEX(메뉴구조!$D$5:$D$300,MATCH($A132,메뉴구조!$A$5:$A$300,0))&amp;""</f>
        <v>종목상세</v>
      </c>
      <c r="E132" s="19" t="str">
        <f>INDEX(메뉴구조!$E$5:$E$300,MATCH($A132,메뉴구조!$A$5:$A$300,0))&amp;""</f>
        <v>정보</v>
      </c>
      <c r="F132" s="9" t="str">
        <f>INDEX(메뉴구조!$G$5:$G$300,MATCH($A132,메뉴구조!$A$5:$A$300,0))&amp;""</f>
        <v>거래 / 종목 / 종목상세 / 정보</v>
      </c>
      <c r="G132" s="18">
        <v>3</v>
      </c>
      <c r="H132" s="9" t="s">
        <v>854</v>
      </c>
      <c r="I132" s="9" t="s">
        <v>855</v>
      </c>
      <c r="J132" s="9" t="s">
        <v>856</v>
      </c>
      <c r="K132" s="25" t="s">
        <v>13</v>
      </c>
      <c r="L132" s="9" t="s">
        <v>851</v>
      </c>
      <c r="M132" s="9"/>
    </row>
    <row r="133" spans="1:13" ht="75" hidden="1">
      <c r="A133" s="18" t="s">
        <v>122</v>
      </c>
      <c r="B133" s="19" t="str">
        <f>INDEX(메뉴구조!$B$5:$B$300,MATCH($A133,메뉴구조!$A$5:$A$300,0))&amp;""</f>
        <v>거래</v>
      </c>
      <c r="C133" s="19" t="str">
        <f>INDEX(메뉴구조!$C$5:$C$300,MATCH($A133,메뉴구조!$A$5:$A$300,0))&amp;""</f>
        <v>종목</v>
      </c>
      <c r="D133" s="19" t="str">
        <f>INDEX(메뉴구조!$D$5:$D$300,MATCH($A133,메뉴구조!$A$5:$A$300,0))&amp;""</f>
        <v>종목상세</v>
      </c>
      <c r="E133" s="19" t="str">
        <f>INDEX(메뉴구조!$E$5:$E$300,MATCH($A133,메뉴구조!$A$5:$A$300,0))&amp;""</f>
        <v>정보</v>
      </c>
      <c r="F133" s="9" t="str">
        <f>INDEX(메뉴구조!$G$5:$G$300,MATCH($A133,메뉴구조!$A$5:$A$300,0))&amp;""</f>
        <v>거래 / 종목 / 종목상세 / 정보</v>
      </c>
      <c r="G133" s="18">
        <v>4</v>
      </c>
      <c r="H133" s="9" t="s">
        <v>857</v>
      </c>
      <c r="I133" s="9" t="s">
        <v>858</v>
      </c>
      <c r="J133" s="9"/>
      <c r="K133" s="25" t="s">
        <v>13</v>
      </c>
      <c r="L133" s="9" t="s">
        <v>851</v>
      </c>
      <c r="M133" s="9"/>
    </row>
    <row r="134" spans="1:13" ht="62.5" hidden="1">
      <c r="A134" s="18" t="s">
        <v>122</v>
      </c>
      <c r="B134" s="19" t="str">
        <f>INDEX(메뉴구조!$B$5:$B$300,MATCH($A134,메뉴구조!$A$5:$A$300,0))&amp;""</f>
        <v>거래</v>
      </c>
      <c r="C134" s="19" t="str">
        <f>INDEX(메뉴구조!$C$5:$C$300,MATCH($A134,메뉴구조!$A$5:$A$300,0))&amp;""</f>
        <v>종목</v>
      </c>
      <c r="D134" s="19" t="str">
        <f>INDEX(메뉴구조!$D$5:$D$300,MATCH($A134,메뉴구조!$A$5:$A$300,0))&amp;""</f>
        <v>종목상세</v>
      </c>
      <c r="E134" s="19" t="str">
        <f>INDEX(메뉴구조!$E$5:$E$300,MATCH($A134,메뉴구조!$A$5:$A$300,0))&amp;""</f>
        <v>정보</v>
      </c>
      <c r="F134" s="9" t="str">
        <f>INDEX(메뉴구조!$G$5:$G$300,MATCH($A134,메뉴구조!$A$5:$A$300,0))&amp;""</f>
        <v>거래 / 종목 / 종목상세 / 정보</v>
      </c>
      <c r="G134" s="18">
        <v>5</v>
      </c>
      <c r="H134" s="9" t="s">
        <v>859</v>
      </c>
      <c r="I134" s="9" t="s">
        <v>860</v>
      </c>
      <c r="J134" s="9"/>
      <c r="K134" s="25" t="s">
        <v>13</v>
      </c>
      <c r="L134" s="9" t="s">
        <v>851</v>
      </c>
      <c r="M134" s="9"/>
    </row>
    <row r="135" spans="1:13" ht="75" hidden="1">
      <c r="A135" s="18" t="s">
        <v>122</v>
      </c>
      <c r="B135" s="19" t="str">
        <f>INDEX(메뉴구조!$B$5:$B$300,MATCH($A135,메뉴구조!$A$5:$A$300,0))&amp;""</f>
        <v>거래</v>
      </c>
      <c r="C135" s="19" t="str">
        <f>INDEX(메뉴구조!$C$5:$C$300,MATCH($A135,메뉴구조!$A$5:$A$300,0))&amp;""</f>
        <v>종목</v>
      </c>
      <c r="D135" s="19" t="str">
        <f>INDEX(메뉴구조!$D$5:$D$300,MATCH($A135,메뉴구조!$A$5:$A$300,0))&amp;""</f>
        <v>종목상세</v>
      </c>
      <c r="E135" s="19" t="str">
        <f>INDEX(메뉴구조!$E$5:$E$300,MATCH($A135,메뉴구조!$A$5:$A$300,0))&amp;""</f>
        <v>정보</v>
      </c>
      <c r="F135" s="9" t="str">
        <f>INDEX(메뉴구조!$G$5:$G$300,MATCH($A135,메뉴구조!$A$5:$A$300,0))&amp;""</f>
        <v>거래 / 종목 / 종목상세 / 정보</v>
      </c>
      <c r="G135" s="18">
        <v>6</v>
      </c>
      <c r="H135" s="9" t="s">
        <v>861</v>
      </c>
      <c r="I135" s="9" t="s">
        <v>862</v>
      </c>
      <c r="J135" s="9"/>
      <c r="K135" s="25" t="s">
        <v>13</v>
      </c>
      <c r="L135" s="9" t="s">
        <v>851</v>
      </c>
      <c r="M135" s="9"/>
    </row>
    <row r="136" spans="1:13" ht="37.5" hidden="1">
      <c r="A136" s="18" t="s">
        <v>122</v>
      </c>
      <c r="B136" s="19" t="str">
        <f>INDEX(메뉴구조!$B$5:$B$300,MATCH($A136,메뉴구조!$A$5:$A$300,0))&amp;""</f>
        <v>거래</v>
      </c>
      <c r="C136" s="19" t="str">
        <f>INDEX(메뉴구조!$C$5:$C$300,MATCH($A136,메뉴구조!$A$5:$A$300,0))&amp;""</f>
        <v>종목</v>
      </c>
      <c r="D136" s="19" t="str">
        <f>INDEX(메뉴구조!$D$5:$D$300,MATCH($A136,메뉴구조!$A$5:$A$300,0))&amp;""</f>
        <v>종목상세</v>
      </c>
      <c r="E136" s="19" t="str">
        <f>INDEX(메뉴구조!$E$5:$E$300,MATCH($A136,메뉴구조!$A$5:$A$300,0))&amp;""</f>
        <v>정보</v>
      </c>
      <c r="F136" s="9" t="str">
        <f>INDEX(메뉴구조!$G$5:$G$300,MATCH($A136,메뉴구조!$A$5:$A$300,0))&amp;""</f>
        <v>거래 / 종목 / 종목상세 / 정보</v>
      </c>
      <c r="G136" s="18">
        <v>7</v>
      </c>
      <c r="H136" s="9" t="s">
        <v>863</v>
      </c>
      <c r="I136" s="9" t="s">
        <v>864</v>
      </c>
      <c r="J136" s="9"/>
      <c r="K136" s="25" t="s">
        <v>13</v>
      </c>
      <c r="L136" s="9" t="s">
        <v>851</v>
      </c>
      <c r="M136" s="9"/>
    </row>
    <row r="137" spans="1:13" ht="50" hidden="1">
      <c r="A137" s="18" t="s">
        <v>126</v>
      </c>
      <c r="B137" s="19" t="str">
        <f>INDEX(메뉴구조!$B$5:$B$300,MATCH($A137,메뉴구조!$A$5:$A$300,0))&amp;""</f>
        <v>거래</v>
      </c>
      <c r="C137" s="19" t="str">
        <f>INDEX(메뉴구조!$C$5:$C$300,MATCH($A137,메뉴구조!$A$5:$A$300,0))&amp;""</f>
        <v>종목</v>
      </c>
      <c r="D137" s="19" t="str">
        <f>INDEX(메뉴구조!$D$5:$D$300,MATCH($A137,메뉴구조!$A$5:$A$300,0))&amp;""</f>
        <v>종목상세</v>
      </c>
      <c r="E137" s="19" t="str">
        <f>INDEX(메뉴구조!$E$5:$E$300,MATCH($A137,메뉴구조!$A$5:$A$300,0))&amp;""</f>
        <v>정보&gt; 예상분배금 계산기</v>
      </c>
      <c r="F137" s="9" t="str">
        <f>INDEX(메뉴구조!$G$5:$G$300,MATCH($A137,메뉴구조!$A$5:$A$300,0))&amp;""</f>
        <v>거래 / 종목 / 종목상세 / 정보&gt; 예상분배금 계산기</v>
      </c>
      <c r="G137" s="18">
        <v>1</v>
      </c>
      <c r="H137" s="9" t="s">
        <v>865</v>
      </c>
      <c r="I137" s="9" t="s">
        <v>866</v>
      </c>
      <c r="J137" s="9" t="s">
        <v>867</v>
      </c>
      <c r="K137" s="18" t="s">
        <v>17</v>
      </c>
      <c r="L137" s="9"/>
      <c r="M137" s="9"/>
    </row>
    <row r="138" spans="1:13" hidden="1">
      <c r="A138" s="18" t="s">
        <v>126</v>
      </c>
      <c r="B138" s="19" t="str">
        <f>INDEX(메뉴구조!$B$5:$B$300,MATCH($A138,메뉴구조!$A$5:$A$300,0))&amp;""</f>
        <v>거래</v>
      </c>
      <c r="C138" s="19" t="str">
        <f>INDEX(메뉴구조!$C$5:$C$300,MATCH($A138,메뉴구조!$A$5:$A$300,0))&amp;""</f>
        <v>종목</v>
      </c>
      <c r="D138" s="19" t="str">
        <f>INDEX(메뉴구조!$D$5:$D$300,MATCH($A138,메뉴구조!$A$5:$A$300,0))&amp;""</f>
        <v>종목상세</v>
      </c>
      <c r="E138" s="19" t="str">
        <f>INDEX(메뉴구조!$E$5:$E$300,MATCH($A138,메뉴구조!$A$5:$A$300,0))&amp;""</f>
        <v>정보&gt; 예상분배금 계산기</v>
      </c>
      <c r="F138" s="9" t="str">
        <f>INDEX(메뉴구조!$G$5:$G$300,MATCH($A138,메뉴구조!$A$5:$A$300,0))&amp;""</f>
        <v>거래 / 종목 / 종목상세 / 정보&gt; 예상분배금 계산기</v>
      </c>
      <c r="G138" s="18">
        <v>2</v>
      </c>
      <c r="H138" s="9" t="s">
        <v>868</v>
      </c>
      <c r="I138" s="9" t="s">
        <v>869</v>
      </c>
      <c r="J138" s="9"/>
      <c r="K138" s="18" t="s">
        <v>17</v>
      </c>
      <c r="L138" s="9"/>
      <c r="M138" s="9"/>
    </row>
    <row r="139" spans="1:13" ht="25" hidden="1">
      <c r="A139" s="18" t="s">
        <v>126</v>
      </c>
      <c r="B139" s="19" t="str">
        <f>INDEX(메뉴구조!$B$5:$B$300,MATCH($A139,메뉴구조!$A$5:$A$300,0))&amp;""</f>
        <v>거래</v>
      </c>
      <c r="C139" s="19" t="str">
        <f>INDEX(메뉴구조!$C$5:$C$300,MATCH($A139,메뉴구조!$A$5:$A$300,0))&amp;""</f>
        <v>종목</v>
      </c>
      <c r="D139" s="19" t="str">
        <f>INDEX(메뉴구조!$D$5:$D$300,MATCH($A139,메뉴구조!$A$5:$A$300,0))&amp;""</f>
        <v>종목상세</v>
      </c>
      <c r="E139" s="19" t="str">
        <f>INDEX(메뉴구조!$E$5:$E$300,MATCH($A139,메뉴구조!$A$5:$A$300,0))&amp;""</f>
        <v>정보&gt; 예상분배금 계산기</v>
      </c>
      <c r="F139" s="9" t="str">
        <f>INDEX(메뉴구조!$G$5:$G$300,MATCH($A139,메뉴구조!$A$5:$A$300,0))&amp;""</f>
        <v>거래 / 종목 / 종목상세 / 정보&gt; 예상분배금 계산기</v>
      </c>
      <c r="G139" s="18">
        <v>3</v>
      </c>
      <c r="H139" s="9" t="s">
        <v>870</v>
      </c>
      <c r="I139" s="9" t="s">
        <v>871</v>
      </c>
      <c r="J139" s="9"/>
      <c r="K139" s="18" t="s">
        <v>17</v>
      </c>
      <c r="L139" s="9"/>
      <c r="M139" s="9"/>
    </row>
    <row r="140" spans="1:13" ht="37.5" hidden="1">
      <c r="A140" s="18" t="s">
        <v>126</v>
      </c>
      <c r="B140" s="19" t="str">
        <f>INDEX(메뉴구조!$B$5:$B$300,MATCH($A140,메뉴구조!$A$5:$A$300,0))&amp;""</f>
        <v>거래</v>
      </c>
      <c r="C140" s="19" t="str">
        <f>INDEX(메뉴구조!$C$5:$C$300,MATCH($A140,메뉴구조!$A$5:$A$300,0))&amp;""</f>
        <v>종목</v>
      </c>
      <c r="D140" s="19" t="str">
        <f>INDEX(메뉴구조!$D$5:$D$300,MATCH($A140,메뉴구조!$A$5:$A$300,0))&amp;""</f>
        <v>종목상세</v>
      </c>
      <c r="E140" s="19" t="str">
        <f>INDEX(메뉴구조!$E$5:$E$300,MATCH($A140,메뉴구조!$A$5:$A$300,0))&amp;""</f>
        <v>정보&gt; 예상분배금 계산기</v>
      </c>
      <c r="F140" s="9" t="str">
        <f>INDEX(메뉴구조!$G$5:$G$300,MATCH($A140,메뉴구조!$A$5:$A$300,0))&amp;""</f>
        <v>거래 / 종목 / 종목상세 / 정보&gt; 예상분배금 계산기</v>
      </c>
      <c r="G140" s="18">
        <v>4</v>
      </c>
      <c r="H140" s="9" t="s">
        <v>872</v>
      </c>
      <c r="I140" s="9" t="s">
        <v>873</v>
      </c>
      <c r="J140" s="9"/>
      <c r="K140" s="18" t="s">
        <v>17</v>
      </c>
      <c r="L140" s="9"/>
      <c r="M140" s="9"/>
    </row>
    <row r="141" spans="1:13" ht="75" hidden="1">
      <c r="A141" s="18" t="s">
        <v>126</v>
      </c>
      <c r="B141" s="19" t="str">
        <f>INDEX(메뉴구조!$B$5:$B$300,MATCH($A141,메뉴구조!$A$5:$A$300,0))&amp;""</f>
        <v>거래</v>
      </c>
      <c r="C141" s="19" t="str">
        <f>INDEX(메뉴구조!$C$5:$C$300,MATCH($A141,메뉴구조!$A$5:$A$300,0))&amp;""</f>
        <v>종목</v>
      </c>
      <c r="D141" s="19" t="str">
        <f>INDEX(메뉴구조!$D$5:$D$300,MATCH($A141,메뉴구조!$A$5:$A$300,0))&amp;""</f>
        <v>종목상세</v>
      </c>
      <c r="E141" s="19" t="str">
        <f>INDEX(메뉴구조!$E$5:$E$300,MATCH($A141,메뉴구조!$A$5:$A$300,0))&amp;""</f>
        <v>정보&gt; 예상분배금 계산기</v>
      </c>
      <c r="F141" s="9" t="str">
        <f>INDEX(메뉴구조!$G$5:$G$300,MATCH($A141,메뉴구조!$A$5:$A$300,0))&amp;""</f>
        <v>거래 / 종목 / 종목상세 / 정보&gt; 예상분배금 계산기</v>
      </c>
      <c r="G141" s="18">
        <v>5</v>
      </c>
      <c r="H141" s="9" t="s">
        <v>874</v>
      </c>
      <c r="I141" s="9" t="s">
        <v>875</v>
      </c>
      <c r="J141" s="9" t="s">
        <v>876</v>
      </c>
      <c r="K141" s="18" t="s">
        <v>17</v>
      </c>
      <c r="L141" s="9"/>
      <c r="M141" s="9"/>
    </row>
    <row r="142" spans="1:13" ht="25" hidden="1">
      <c r="A142" s="18" t="s">
        <v>126</v>
      </c>
      <c r="B142" s="19" t="str">
        <f>INDEX(메뉴구조!$B$5:$B$300,MATCH($A142,메뉴구조!$A$5:$A$300,0))&amp;""</f>
        <v>거래</v>
      </c>
      <c r="C142" s="19" t="str">
        <f>INDEX(메뉴구조!$C$5:$C$300,MATCH($A142,메뉴구조!$A$5:$A$300,0))&amp;""</f>
        <v>종목</v>
      </c>
      <c r="D142" s="19" t="str">
        <f>INDEX(메뉴구조!$D$5:$D$300,MATCH($A142,메뉴구조!$A$5:$A$300,0))&amp;""</f>
        <v>종목상세</v>
      </c>
      <c r="E142" s="19" t="str">
        <f>INDEX(메뉴구조!$E$5:$E$300,MATCH($A142,메뉴구조!$A$5:$A$300,0))&amp;""</f>
        <v>정보&gt; 예상분배금 계산기</v>
      </c>
      <c r="F142" s="9" t="str">
        <f>INDEX(메뉴구조!$G$5:$G$300,MATCH($A142,메뉴구조!$A$5:$A$300,0))&amp;""</f>
        <v>거래 / 종목 / 종목상세 / 정보&gt; 예상분배금 계산기</v>
      </c>
      <c r="G142" s="18">
        <v>6</v>
      </c>
      <c r="H142" s="9" t="s">
        <v>877</v>
      </c>
      <c r="I142" s="9" t="s">
        <v>878</v>
      </c>
      <c r="J142" s="9"/>
      <c r="K142" s="18" t="s">
        <v>17</v>
      </c>
      <c r="L142" s="9"/>
      <c r="M142" s="9"/>
    </row>
    <row r="143" spans="1:13" ht="37.5" hidden="1">
      <c r="A143" s="18" t="s">
        <v>131</v>
      </c>
      <c r="B143" s="19" t="str">
        <f>INDEX(메뉴구조!$B$5:$B$300,MATCH($A143,메뉴구조!$A$5:$A$300,0))&amp;""</f>
        <v>거래</v>
      </c>
      <c r="C143" s="19" t="str">
        <f>INDEX(메뉴구조!$C$5:$C$300,MATCH($A143,메뉴구조!$A$5:$A$300,0))&amp;""</f>
        <v>종목</v>
      </c>
      <c r="D143" s="19" t="str">
        <f>INDEX(메뉴구조!$D$5:$D$300,MATCH($A143,메뉴구조!$A$5:$A$300,0))&amp;""</f>
        <v>종목상세</v>
      </c>
      <c r="E143" s="19" t="str">
        <f>INDEX(메뉴구조!$E$5:$E$300,MATCH($A143,메뉴구조!$A$5:$A$300,0))&amp;""</f>
        <v>정보&gt; 발행공시 목록</v>
      </c>
      <c r="F143" s="9" t="str">
        <f>INDEX(메뉴구조!$G$5:$G$300,MATCH($A143,메뉴구조!$A$5:$A$300,0))&amp;""</f>
        <v>거래 / 종목 / 종목상세 / 정보&gt; 발행공시 목록</v>
      </c>
      <c r="G143" s="18">
        <v>1</v>
      </c>
      <c r="H143" s="31" t="s">
        <v>879</v>
      </c>
      <c r="I143" s="31" t="s">
        <v>880</v>
      </c>
      <c r="J143" s="9"/>
      <c r="K143" s="20" t="s">
        <v>9</v>
      </c>
      <c r="L143" s="9" t="s">
        <v>881</v>
      </c>
      <c r="M143" s="9" t="s">
        <v>882</v>
      </c>
    </row>
    <row r="144" spans="1:13" ht="37.5" hidden="1">
      <c r="A144" s="18" t="s">
        <v>131</v>
      </c>
      <c r="B144" s="19" t="str">
        <f>INDEX(메뉴구조!$B$5:$B$300,MATCH($A144,메뉴구조!$A$5:$A$300,0))&amp;""</f>
        <v>거래</v>
      </c>
      <c r="C144" s="19" t="str">
        <f>INDEX(메뉴구조!$C$5:$C$300,MATCH($A144,메뉴구조!$A$5:$A$300,0))&amp;""</f>
        <v>종목</v>
      </c>
      <c r="D144" s="19" t="str">
        <f>INDEX(메뉴구조!$D$5:$D$300,MATCH($A144,메뉴구조!$A$5:$A$300,0))&amp;""</f>
        <v>종목상세</v>
      </c>
      <c r="E144" s="19" t="str">
        <f>INDEX(메뉴구조!$E$5:$E$300,MATCH($A144,메뉴구조!$A$5:$A$300,0))&amp;""</f>
        <v>정보&gt; 발행공시 목록</v>
      </c>
      <c r="F144" s="9" t="str">
        <f>INDEX(메뉴구조!$G$5:$G$300,MATCH($A144,메뉴구조!$A$5:$A$300,0))&amp;""</f>
        <v>거래 / 종목 / 종목상세 / 정보&gt; 발행공시 목록</v>
      </c>
      <c r="G144" s="18">
        <v>2</v>
      </c>
      <c r="H144" s="9" t="s">
        <v>883</v>
      </c>
      <c r="I144" s="9" t="s">
        <v>884</v>
      </c>
      <c r="J144" s="9"/>
      <c r="K144" s="18" t="s">
        <v>17</v>
      </c>
      <c r="L144" s="9"/>
      <c r="M144" s="9"/>
    </row>
    <row r="145" spans="1:13" ht="62.5" hidden="1">
      <c r="A145" s="18" t="s">
        <v>131</v>
      </c>
      <c r="B145" s="19" t="str">
        <f>INDEX(메뉴구조!$B$5:$B$300,MATCH($A145,메뉴구조!$A$5:$A$300,0))&amp;""</f>
        <v>거래</v>
      </c>
      <c r="C145" s="19" t="str">
        <f>INDEX(메뉴구조!$C$5:$C$300,MATCH($A145,메뉴구조!$A$5:$A$300,0))&amp;""</f>
        <v>종목</v>
      </c>
      <c r="D145" s="19" t="str">
        <f>INDEX(메뉴구조!$D$5:$D$300,MATCH($A145,메뉴구조!$A$5:$A$300,0))&amp;""</f>
        <v>종목상세</v>
      </c>
      <c r="E145" s="19" t="str">
        <f>INDEX(메뉴구조!$E$5:$E$300,MATCH($A145,메뉴구조!$A$5:$A$300,0))&amp;""</f>
        <v>정보&gt; 발행공시 목록</v>
      </c>
      <c r="F145" s="9" t="str">
        <f>INDEX(메뉴구조!$G$5:$G$300,MATCH($A145,메뉴구조!$A$5:$A$300,0))&amp;""</f>
        <v>거래 / 종목 / 종목상세 / 정보&gt; 발행공시 목록</v>
      </c>
      <c r="G145" s="18">
        <v>3</v>
      </c>
      <c r="H145" s="31" t="s">
        <v>885</v>
      </c>
      <c r="I145" s="31" t="s">
        <v>886</v>
      </c>
      <c r="J145" s="9"/>
      <c r="K145" s="20" t="s">
        <v>9</v>
      </c>
      <c r="L145" s="9" t="s">
        <v>887</v>
      </c>
      <c r="M145" s="9" t="s">
        <v>888</v>
      </c>
    </row>
    <row r="146" spans="1:13" ht="50" hidden="1">
      <c r="A146" s="18" t="s">
        <v>131</v>
      </c>
      <c r="B146" s="19" t="str">
        <f>INDEX(메뉴구조!$B$5:$B$300,MATCH($A146,메뉴구조!$A$5:$A$300,0))&amp;""</f>
        <v>거래</v>
      </c>
      <c r="C146" s="19" t="str">
        <f>INDEX(메뉴구조!$C$5:$C$300,MATCH($A146,메뉴구조!$A$5:$A$300,0))&amp;""</f>
        <v>종목</v>
      </c>
      <c r="D146" s="19" t="str">
        <f>INDEX(메뉴구조!$D$5:$D$300,MATCH($A146,메뉴구조!$A$5:$A$300,0))&amp;""</f>
        <v>종목상세</v>
      </c>
      <c r="E146" s="19" t="str">
        <f>INDEX(메뉴구조!$E$5:$E$300,MATCH($A146,메뉴구조!$A$5:$A$300,0))&amp;""</f>
        <v>정보&gt; 발행공시 목록</v>
      </c>
      <c r="F146" s="9" t="str">
        <f>INDEX(메뉴구조!$G$5:$G$300,MATCH($A146,메뉴구조!$A$5:$A$300,0))&amp;""</f>
        <v>거래 / 종목 / 종목상세 / 정보&gt; 발행공시 목록</v>
      </c>
      <c r="G146" s="18">
        <v>4</v>
      </c>
      <c r="H146" s="9" t="s">
        <v>889</v>
      </c>
      <c r="I146" s="9" t="s">
        <v>890</v>
      </c>
      <c r="J146" s="9"/>
      <c r="K146" s="18" t="s">
        <v>17</v>
      </c>
      <c r="L146" s="9"/>
      <c r="M146" s="9"/>
    </row>
    <row r="147" spans="1:13" ht="50" hidden="1">
      <c r="A147" s="18" t="s">
        <v>135</v>
      </c>
      <c r="B147" s="19" t="str">
        <f>INDEX(메뉴구조!$B$5:$B$300,MATCH($A147,메뉴구조!$A$5:$A$300,0))&amp;""</f>
        <v>거래</v>
      </c>
      <c r="C147" s="19" t="str">
        <f>INDEX(메뉴구조!$C$5:$C$300,MATCH($A147,메뉴구조!$A$5:$A$300,0))&amp;""</f>
        <v>종목</v>
      </c>
      <c r="D147" s="19" t="str">
        <f>INDEX(메뉴구조!$D$5:$D$300,MATCH($A147,메뉴구조!$A$5:$A$300,0))&amp;""</f>
        <v>종목상세</v>
      </c>
      <c r="E147" s="19" t="str">
        <f>INDEX(메뉴구조!$E$5:$E$300,MATCH($A147,메뉴구조!$A$5:$A$300,0))&amp;""</f>
        <v>정보&gt; 발행공시 상세</v>
      </c>
      <c r="F147" s="9" t="str">
        <f>INDEX(메뉴구조!$G$5:$G$300,MATCH($A147,메뉴구조!$A$5:$A$300,0))&amp;""</f>
        <v>거래 / 종목 / 종목상세 / 정보&gt; 발행공시 상세</v>
      </c>
      <c r="G147" s="18">
        <v>1</v>
      </c>
      <c r="H147" s="31" t="s">
        <v>891</v>
      </c>
      <c r="I147" s="31" t="s">
        <v>892</v>
      </c>
      <c r="J147" s="9"/>
      <c r="K147" s="20" t="s">
        <v>9</v>
      </c>
      <c r="L147" s="9" t="s">
        <v>893</v>
      </c>
      <c r="M147" s="9" t="s">
        <v>894</v>
      </c>
    </row>
    <row r="148" spans="1:13" hidden="1">
      <c r="A148" s="18" t="s">
        <v>135</v>
      </c>
      <c r="B148" s="19" t="str">
        <f>INDEX(메뉴구조!$B$5:$B$300,MATCH($A148,메뉴구조!$A$5:$A$300,0))&amp;""</f>
        <v>거래</v>
      </c>
      <c r="C148" s="19" t="str">
        <f>INDEX(메뉴구조!$C$5:$C$300,MATCH($A148,메뉴구조!$A$5:$A$300,0))&amp;""</f>
        <v>종목</v>
      </c>
      <c r="D148" s="19" t="str">
        <f>INDEX(메뉴구조!$D$5:$D$300,MATCH($A148,메뉴구조!$A$5:$A$300,0))&amp;""</f>
        <v>종목상세</v>
      </c>
      <c r="E148" s="19" t="str">
        <f>INDEX(메뉴구조!$E$5:$E$300,MATCH($A148,메뉴구조!$A$5:$A$300,0))&amp;""</f>
        <v>정보&gt; 발행공시 상세</v>
      </c>
      <c r="F148" s="9" t="str">
        <f>INDEX(메뉴구조!$G$5:$G$300,MATCH($A148,메뉴구조!$A$5:$A$300,0))&amp;""</f>
        <v>거래 / 종목 / 종목상세 / 정보&gt; 발행공시 상세</v>
      </c>
      <c r="G148" s="18">
        <v>2</v>
      </c>
      <c r="H148" s="9" t="s">
        <v>895</v>
      </c>
      <c r="I148" s="9" t="s">
        <v>896</v>
      </c>
      <c r="J148" s="9"/>
      <c r="K148" s="18" t="s">
        <v>17</v>
      </c>
      <c r="L148" s="9"/>
      <c r="M148" s="9"/>
    </row>
    <row r="149" spans="1:13" ht="37.5" hidden="1">
      <c r="A149" s="18" t="s">
        <v>135</v>
      </c>
      <c r="B149" s="19" t="str">
        <f>INDEX(메뉴구조!$B$5:$B$300,MATCH($A149,메뉴구조!$A$5:$A$300,0))&amp;""</f>
        <v>거래</v>
      </c>
      <c r="C149" s="19" t="str">
        <f>INDEX(메뉴구조!$C$5:$C$300,MATCH($A149,메뉴구조!$A$5:$A$300,0))&amp;""</f>
        <v>종목</v>
      </c>
      <c r="D149" s="19" t="str">
        <f>INDEX(메뉴구조!$D$5:$D$300,MATCH($A149,메뉴구조!$A$5:$A$300,0))&amp;""</f>
        <v>종목상세</v>
      </c>
      <c r="E149" s="19" t="str">
        <f>INDEX(메뉴구조!$E$5:$E$300,MATCH($A149,메뉴구조!$A$5:$A$300,0))&amp;""</f>
        <v>정보&gt; 발행공시 상세</v>
      </c>
      <c r="F149" s="9" t="str">
        <f>INDEX(메뉴구조!$G$5:$G$300,MATCH($A149,메뉴구조!$A$5:$A$300,0))&amp;""</f>
        <v>거래 / 종목 / 종목상세 / 정보&gt; 발행공시 상세</v>
      </c>
      <c r="G149" s="18">
        <v>3</v>
      </c>
      <c r="H149" s="9" t="s">
        <v>897</v>
      </c>
      <c r="I149" s="9" t="s">
        <v>898</v>
      </c>
      <c r="J149" s="9"/>
      <c r="K149" s="18" t="s">
        <v>17</v>
      </c>
      <c r="L149" s="9"/>
      <c r="M149" s="9"/>
    </row>
    <row r="150" spans="1:13" ht="25" hidden="1">
      <c r="A150" s="18" t="s">
        <v>135</v>
      </c>
      <c r="B150" s="19" t="str">
        <f>INDEX(메뉴구조!$B$5:$B$300,MATCH($A150,메뉴구조!$A$5:$A$300,0))&amp;""</f>
        <v>거래</v>
      </c>
      <c r="C150" s="19" t="str">
        <f>INDEX(메뉴구조!$C$5:$C$300,MATCH($A150,메뉴구조!$A$5:$A$300,0))&amp;""</f>
        <v>종목</v>
      </c>
      <c r="D150" s="19" t="str">
        <f>INDEX(메뉴구조!$D$5:$D$300,MATCH($A150,메뉴구조!$A$5:$A$300,0))&amp;""</f>
        <v>종목상세</v>
      </c>
      <c r="E150" s="19" t="str">
        <f>INDEX(메뉴구조!$E$5:$E$300,MATCH($A150,메뉴구조!$A$5:$A$300,0))&amp;""</f>
        <v>정보&gt; 발행공시 상세</v>
      </c>
      <c r="F150" s="9" t="str">
        <f>INDEX(메뉴구조!$G$5:$G$300,MATCH($A150,메뉴구조!$A$5:$A$300,0))&amp;""</f>
        <v>거래 / 종목 / 종목상세 / 정보&gt; 발행공시 상세</v>
      </c>
      <c r="G150" s="18">
        <v>4</v>
      </c>
      <c r="H150" s="9" t="s">
        <v>899</v>
      </c>
      <c r="I150" s="9" t="s">
        <v>900</v>
      </c>
      <c r="J150" s="9"/>
      <c r="K150" s="18" t="s">
        <v>17</v>
      </c>
      <c r="L150" s="9"/>
      <c r="M150" s="9"/>
    </row>
    <row r="151" spans="1:13" ht="25" hidden="1">
      <c r="A151" s="18" t="s">
        <v>139</v>
      </c>
      <c r="B151" s="19" t="str">
        <f>INDEX(메뉴구조!$B$5:$B$300,MATCH($A151,메뉴구조!$A$5:$A$300,0))&amp;""</f>
        <v>거래</v>
      </c>
      <c r="C151" s="19" t="str">
        <f>INDEX(메뉴구조!$C$5:$C$300,MATCH($A151,메뉴구조!$A$5:$A$300,0))&amp;""</f>
        <v>종목</v>
      </c>
      <c r="D151" s="19" t="str">
        <f>INDEX(메뉴구조!$D$5:$D$300,MATCH($A151,메뉴구조!$A$5:$A$300,0))&amp;""</f>
        <v>종목상세</v>
      </c>
      <c r="E151" s="19" t="str">
        <f>INDEX(메뉴구조!$E$5:$E$300,MATCH($A151,메뉴구조!$A$5:$A$300,0))&amp;""</f>
        <v>정보&gt; 유통공시 목록</v>
      </c>
      <c r="F151" s="9" t="str">
        <f>INDEX(메뉴구조!$G$5:$G$300,MATCH($A151,메뉴구조!$A$5:$A$300,0))&amp;""</f>
        <v>거래 / 종목 / 종목상세 / 정보&gt; 유통공시 목록</v>
      </c>
      <c r="G151" s="18">
        <v>1</v>
      </c>
      <c r="H151" s="31" t="s">
        <v>879</v>
      </c>
      <c r="I151" s="31" t="s">
        <v>901</v>
      </c>
      <c r="J151" s="9"/>
      <c r="K151" s="20" t="s">
        <v>9</v>
      </c>
      <c r="L151" s="9" t="s">
        <v>902</v>
      </c>
      <c r="M151" s="9" t="s">
        <v>903</v>
      </c>
    </row>
    <row r="152" spans="1:13" ht="25" hidden="1">
      <c r="A152" s="18" t="s">
        <v>139</v>
      </c>
      <c r="B152" s="19" t="str">
        <f>INDEX(메뉴구조!$B$5:$B$300,MATCH($A152,메뉴구조!$A$5:$A$300,0))&amp;""</f>
        <v>거래</v>
      </c>
      <c r="C152" s="19" t="str">
        <f>INDEX(메뉴구조!$C$5:$C$300,MATCH($A152,메뉴구조!$A$5:$A$300,0))&amp;""</f>
        <v>종목</v>
      </c>
      <c r="D152" s="19" t="str">
        <f>INDEX(메뉴구조!$D$5:$D$300,MATCH($A152,메뉴구조!$A$5:$A$300,0))&amp;""</f>
        <v>종목상세</v>
      </c>
      <c r="E152" s="19" t="str">
        <f>INDEX(메뉴구조!$E$5:$E$300,MATCH($A152,메뉴구조!$A$5:$A$300,0))&amp;""</f>
        <v>정보&gt; 유통공시 목록</v>
      </c>
      <c r="F152" s="9" t="str">
        <f>INDEX(메뉴구조!$G$5:$G$300,MATCH($A152,메뉴구조!$A$5:$A$300,0))&amp;""</f>
        <v>거래 / 종목 / 종목상세 / 정보&gt; 유통공시 목록</v>
      </c>
      <c r="G152" s="18">
        <v>2</v>
      </c>
      <c r="H152" s="9" t="s">
        <v>904</v>
      </c>
      <c r="I152" s="9" t="s">
        <v>905</v>
      </c>
      <c r="J152" s="9"/>
      <c r="K152" s="18" t="s">
        <v>17</v>
      </c>
      <c r="L152" s="9"/>
      <c r="M152" s="9"/>
    </row>
    <row r="153" spans="1:13" ht="50" hidden="1">
      <c r="A153" s="18" t="s">
        <v>139</v>
      </c>
      <c r="B153" s="19" t="str">
        <f>INDEX(메뉴구조!$B$5:$B$300,MATCH($A153,메뉴구조!$A$5:$A$300,0))&amp;""</f>
        <v>거래</v>
      </c>
      <c r="C153" s="19" t="str">
        <f>INDEX(메뉴구조!$C$5:$C$300,MATCH($A153,메뉴구조!$A$5:$A$300,0))&amp;""</f>
        <v>종목</v>
      </c>
      <c r="D153" s="19" t="str">
        <f>INDEX(메뉴구조!$D$5:$D$300,MATCH($A153,메뉴구조!$A$5:$A$300,0))&amp;""</f>
        <v>종목상세</v>
      </c>
      <c r="E153" s="19" t="str">
        <f>INDEX(메뉴구조!$E$5:$E$300,MATCH($A153,메뉴구조!$A$5:$A$300,0))&amp;""</f>
        <v>정보&gt; 유통공시 목록</v>
      </c>
      <c r="F153" s="9" t="str">
        <f>INDEX(메뉴구조!$G$5:$G$300,MATCH($A153,메뉴구조!$A$5:$A$300,0))&amp;""</f>
        <v>거래 / 종목 / 종목상세 / 정보&gt; 유통공시 목록</v>
      </c>
      <c r="G153" s="18">
        <v>3</v>
      </c>
      <c r="H153" s="31" t="s">
        <v>906</v>
      </c>
      <c r="I153" s="31" t="s">
        <v>907</v>
      </c>
      <c r="J153" s="9"/>
      <c r="K153" s="20" t="s">
        <v>9</v>
      </c>
      <c r="L153" s="9" t="s">
        <v>887</v>
      </c>
      <c r="M153" s="9" t="s">
        <v>908</v>
      </c>
    </row>
    <row r="154" spans="1:13" ht="37.5" hidden="1">
      <c r="A154" s="18" t="s">
        <v>139</v>
      </c>
      <c r="B154" s="19" t="str">
        <f>INDEX(메뉴구조!$B$5:$B$300,MATCH($A154,메뉴구조!$A$5:$A$300,0))&amp;""</f>
        <v>거래</v>
      </c>
      <c r="C154" s="19" t="str">
        <f>INDEX(메뉴구조!$C$5:$C$300,MATCH($A154,메뉴구조!$A$5:$A$300,0))&amp;""</f>
        <v>종목</v>
      </c>
      <c r="D154" s="19" t="str">
        <f>INDEX(메뉴구조!$D$5:$D$300,MATCH($A154,메뉴구조!$A$5:$A$300,0))&amp;""</f>
        <v>종목상세</v>
      </c>
      <c r="E154" s="19" t="str">
        <f>INDEX(메뉴구조!$E$5:$E$300,MATCH($A154,메뉴구조!$A$5:$A$300,0))&amp;""</f>
        <v>정보&gt; 유통공시 목록</v>
      </c>
      <c r="F154" s="9" t="str">
        <f>INDEX(메뉴구조!$G$5:$G$300,MATCH($A154,메뉴구조!$A$5:$A$300,0))&amp;""</f>
        <v>거래 / 종목 / 종목상세 / 정보&gt; 유통공시 목록</v>
      </c>
      <c r="G154" s="18">
        <v>4</v>
      </c>
      <c r="H154" s="9" t="s">
        <v>909</v>
      </c>
      <c r="I154" s="9" t="s">
        <v>910</v>
      </c>
      <c r="J154" s="9"/>
      <c r="K154" s="18" t="s">
        <v>17</v>
      </c>
      <c r="L154" s="9"/>
      <c r="M154" s="9"/>
    </row>
    <row r="155" spans="1:13" ht="25" hidden="1">
      <c r="A155" s="18" t="s">
        <v>139</v>
      </c>
      <c r="B155" s="19" t="str">
        <f>INDEX(메뉴구조!$B$5:$B$300,MATCH($A155,메뉴구조!$A$5:$A$300,0))&amp;""</f>
        <v>거래</v>
      </c>
      <c r="C155" s="19" t="str">
        <f>INDEX(메뉴구조!$C$5:$C$300,MATCH($A155,메뉴구조!$A$5:$A$300,0))&amp;""</f>
        <v>종목</v>
      </c>
      <c r="D155" s="19" t="str">
        <f>INDEX(메뉴구조!$D$5:$D$300,MATCH($A155,메뉴구조!$A$5:$A$300,0))&amp;""</f>
        <v>종목상세</v>
      </c>
      <c r="E155" s="19" t="str">
        <f>INDEX(메뉴구조!$E$5:$E$300,MATCH($A155,메뉴구조!$A$5:$A$300,0))&amp;""</f>
        <v>정보&gt; 유통공시 목록</v>
      </c>
      <c r="F155" s="9" t="str">
        <f>INDEX(메뉴구조!$G$5:$G$300,MATCH($A155,메뉴구조!$A$5:$A$300,0))&amp;""</f>
        <v>거래 / 종목 / 종목상세 / 정보&gt; 유통공시 목록</v>
      </c>
      <c r="G155" s="18">
        <v>5</v>
      </c>
      <c r="H155" s="9" t="s">
        <v>911</v>
      </c>
      <c r="I155" s="9" t="s">
        <v>912</v>
      </c>
      <c r="J155" s="9"/>
      <c r="K155" s="18" t="s">
        <v>17</v>
      </c>
      <c r="L155" s="9"/>
      <c r="M155" s="9"/>
    </row>
    <row r="156" spans="1:13" ht="50" hidden="1">
      <c r="A156" s="18" t="s">
        <v>142</v>
      </c>
      <c r="B156" s="19" t="str">
        <f>INDEX(메뉴구조!$B$5:$B$300,MATCH($A156,메뉴구조!$A$5:$A$300,0))&amp;""</f>
        <v>거래</v>
      </c>
      <c r="C156" s="19" t="str">
        <f>INDEX(메뉴구조!$C$5:$C$300,MATCH($A156,메뉴구조!$A$5:$A$300,0))&amp;""</f>
        <v>종목</v>
      </c>
      <c r="D156" s="19" t="str">
        <f>INDEX(메뉴구조!$D$5:$D$300,MATCH($A156,메뉴구조!$A$5:$A$300,0))&amp;""</f>
        <v>종목상세</v>
      </c>
      <c r="E156" s="19" t="str">
        <f>INDEX(메뉴구조!$E$5:$E$300,MATCH($A156,메뉴구조!$A$5:$A$300,0))&amp;""</f>
        <v>정보&gt; 유통공시 상세</v>
      </c>
      <c r="F156" s="9" t="str">
        <f>INDEX(메뉴구조!$G$5:$G$300,MATCH($A156,메뉴구조!$A$5:$A$300,0))&amp;""</f>
        <v>거래 / 종목 / 종목상세 / 정보&gt; 유통공시 상세</v>
      </c>
      <c r="G156" s="18">
        <v>1</v>
      </c>
      <c r="H156" s="31" t="s">
        <v>891</v>
      </c>
      <c r="I156" s="31" t="s">
        <v>892</v>
      </c>
      <c r="J156" s="9"/>
      <c r="K156" s="20" t="s">
        <v>9</v>
      </c>
      <c r="L156" s="9" t="s">
        <v>893</v>
      </c>
      <c r="M156" s="9" t="s">
        <v>913</v>
      </c>
    </row>
    <row r="157" spans="1:13" hidden="1">
      <c r="A157" s="18" t="s">
        <v>142</v>
      </c>
      <c r="B157" s="19" t="str">
        <f>INDEX(메뉴구조!$B$5:$B$300,MATCH($A157,메뉴구조!$A$5:$A$300,0))&amp;""</f>
        <v>거래</v>
      </c>
      <c r="C157" s="19" t="str">
        <f>INDEX(메뉴구조!$C$5:$C$300,MATCH($A157,메뉴구조!$A$5:$A$300,0))&amp;""</f>
        <v>종목</v>
      </c>
      <c r="D157" s="19" t="str">
        <f>INDEX(메뉴구조!$D$5:$D$300,MATCH($A157,메뉴구조!$A$5:$A$300,0))&amp;""</f>
        <v>종목상세</v>
      </c>
      <c r="E157" s="19" t="str">
        <f>INDEX(메뉴구조!$E$5:$E$300,MATCH($A157,메뉴구조!$A$5:$A$300,0))&amp;""</f>
        <v>정보&gt; 유통공시 상세</v>
      </c>
      <c r="F157" s="9" t="str">
        <f>INDEX(메뉴구조!$G$5:$G$300,MATCH($A157,메뉴구조!$A$5:$A$300,0))&amp;""</f>
        <v>거래 / 종목 / 종목상세 / 정보&gt; 유통공시 상세</v>
      </c>
      <c r="G157" s="18">
        <v>2</v>
      </c>
      <c r="H157" s="9" t="s">
        <v>914</v>
      </c>
      <c r="I157" s="9" t="s">
        <v>915</v>
      </c>
      <c r="J157" s="9"/>
      <c r="K157" s="18" t="s">
        <v>17</v>
      </c>
      <c r="L157" s="9"/>
      <c r="M157" s="9"/>
    </row>
    <row r="158" spans="1:13" ht="25" hidden="1">
      <c r="A158" s="18" t="s">
        <v>142</v>
      </c>
      <c r="B158" s="19" t="str">
        <f>INDEX(메뉴구조!$B$5:$B$300,MATCH($A158,메뉴구조!$A$5:$A$300,0))&amp;""</f>
        <v>거래</v>
      </c>
      <c r="C158" s="19" t="str">
        <f>INDEX(메뉴구조!$C$5:$C$300,MATCH($A158,메뉴구조!$A$5:$A$300,0))&amp;""</f>
        <v>종목</v>
      </c>
      <c r="D158" s="19" t="str">
        <f>INDEX(메뉴구조!$D$5:$D$300,MATCH($A158,메뉴구조!$A$5:$A$300,0))&amp;""</f>
        <v>종목상세</v>
      </c>
      <c r="E158" s="19" t="str">
        <f>INDEX(메뉴구조!$E$5:$E$300,MATCH($A158,메뉴구조!$A$5:$A$300,0))&amp;""</f>
        <v>정보&gt; 유통공시 상세</v>
      </c>
      <c r="F158" s="9" t="str">
        <f>INDEX(메뉴구조!$G$5:$G$300,MATCH($A158,메뉴구조!$A$5:$A$300,0))&amp;""</f>
        <v>거래 / 종목 / 종목상세 / 정보&gt; 유통공시 상세</v>
      </c>
      <c r="G158" s="18">
        <v>3</v>
      </c>
      <c r="H158" s="9" t="s">
        <v>916</v>
      </c>
      <c r="I158" s="9" t="s">
        <v>917</v>
      </c>
      <c r="J158" s="9"/>
      <c r="K158" s="18" t="s">
        <v>17</v>
      </c>
      <c r="L158" s="9"/>
      <c r="M158" s="9"/>
    </row>
    <row r="159" spans="1:13" ht="75" hidden="1">
      <c r="A159" s="18" t="s">
        <v>142</v>
      </c>
      <c r="B159" s="19" t="str">
        <f>INDEX(메뉴구조!$B$5:$B$300,MATCH($A159,메뉴구조!$A$5:$A$300,0))&amp;""</f>
        <v>거래</v>
      </c>
      <c r="C159" s="19" t="str">
        <f>INDEX(메뉴구조!$C$5:$C$300,MATCH($A159,메뉴구조!$A$5:$A$300,0))&amp;""</f>
        <v>종목</v>
      </c>
      <c r="D159" s="19" t="str">
        <f>INDEX(메뉴구조!$D$5:$D$300,MATCH($A159,메뉴구조!$A$5:$A$300,0))&amp;""</f>
        <v>종목상세</v>
      </c>
      <c r="E159" s="19" t="str">
        <f>INDEX(메뉴구조!$E$5:$E$300,MATCH($A159,메뉴구조!$A$5:$A$300,0))&amp;""</f>
        <v>정보&gt; 유통공시 상세</v>
      </c>
      <c r="F159" s="9" t="str">
        <f>INDEX(메뉴구조!$G$5:$G$300,MATCH($A159,메뉴구조!$A$5:$A$300,0))&amp;""</f>
        <v>거래 / 종목 / 종목상세 / 정보&gt; 유통공시 상세</v>
      </c>
      <c r="G159" s="18">
        <v>4</v>
      </c>
      <c r="H159" s="9" t="s">
        <v>918</v>
      </c>
      <c r="I159" s="9" t="s">
        <v>919</v>
      </c>
      <c r="J159" s="9" t="s">
        <v>920</v>
      </c>
      <c r="K159" s="18" t="s">
        <v>17</v>
      </c>
      <c r="L159" s="9"/>
      <c r="M159" s="9"/>
    </row>
    <row r="160" spans="1:13" ht="25" hidden="1">
      <c r="A160" s="18" t="s">
        <v>142</v>
      </c>
      <c r="B160" s="19" t="str">
        <f>INDEX(메뉴구조!$B$5:$B$300,MATCH($A160,메뉴구조!$A$5:$A$300,0))&amp;""</f>
        <v>거래</v>
      </c>
      <c r="C160" s="19" t="str">
        <f>INDEX(메뉴구조!$C$5:$C$300,MATCH($A160,메뉴구조!$A$5:$A$300,0))&amp;""</f>
        <v>종목</v>
      </c>
      <c r="D160" s="19" t="str">
        <f>INDEX(메뉴구조!$D$5:$D$300,MATCH($A160,메뉴구조!$A$5:$A$300,0))&amp;""</f>
        <v>종목상세</v>
      </c>
      <c r="E160" s="19" t="str">
        <f>INDEX(메뉴구조!$E$5:$E$300,MATCH($A160,메뉴구조!$A$5:$A$300,0))&amp;""</f>
        <v>정보&gt; 유통공시 상세</v>
      </c>
      <c r="F160" s="9" t="str">
        <f>INDEX(메뉴구조!$G$5:$G$300,MATCH($A160,메뉴구조!$A$5:$A$300,0))&amp;""</f>
        <v>거래 / 종목 / 종목상세 / 정보&gt; 유통공시 상세</v>
      </c>
      <c r="G160" s="18">
        <v>5</v>
      </c>
      <c r="H160" s="9" t="s">
        <v>921</v>
      </c>
      <c r="I160" s="9" t="s">
        <v>922</v>
      </c>
      <c r="J160" s="9"/>
      <c r="K160" s="18" t="s">
        <v>17</v>
      </c>
      <c r="L160" s="9"/>
      <c r="M160" s="9"/>
    </row>
    <row r="161" spans="1:13" ht="50" hidden="1">
      <c r="A161" s="18" t="s">
        <v>145</v>
      </c>
      <c r="B161" s="19" t="str">
        <f>INDEX(메뉴구조!$B$5:$B$300,MATCH($A161,메뉴구조!$A$5:$A$300,0))&amp;""</f>
        <v>거래</v>
      </c>
      <c r="C161" s="19" t="str">
        <f>INDEX(메뉴구조!$C$5:$C$300,MATCH($A161,메뉴구조!$A$5:$A$300,0))&amp;""</f>
        <v>종목</v>
      </c>
      <c r="D161" s="19" t="str">
        <f>INDEX(메뉴구조!$D$5:$D$300,MATCH($A161,메뉴구조!$A$5:$A$300,0))&amp;""</f>
        <v>종목상세</v>
      </c>
      <c r="E161" s="19" t="str">
        <f>INDEX(메뉴구조!$E$5:$E$300,MATCH($A161,메뉴구조!$A$5:$A$300,0))&amp;""</f>
        <v>주문 (간편)</v>
      </c>
      <c r="F161" s="9" t="str">
        <f>INDEX(메뉴구조!$G$5:$G$300,MATCH($A161,메뉴구조!$A$5:$A$300,0))&amp;""</f>
        <v>거래 / 종목 / 종목상세 / 주문 (간편)</v>
      </c>
      <c r="G161" s="18">
        <v>1</v>
      </c>
      <c r="H161" s="9" t="s">
        <v>923</v>
      </c>
      <c r="I161" s="9" t="s">
        <v>924</v>
      </c>
      <c r="J161" s="9"/>
      <c r="K161" s="25" t="s">
        <v>13</v>
      </c>
      <c r="L161" s="9" t="s">
        <v>851</v>
      </c>
      <c r="M161" s="9"/>
    </row>
    <row r="162" spans="1:13" ht="37.5" hidden="1">
      <c r="A162" s="18" t="s">
        <v>145</v>
      </c>
      <c r="B162" s="19" t="str">
        <f>INDEX(메뉴구조!$B$5:$B$300,MATCH($A162,메뉴구조!$A$5:$A$300,0))&amp;""</f>
        <v>거래</v>
      </c>
      <c r="C162" s="19" t="str">
        <f>INDEX(메뉴구조!$C$5:$C$300,MATCH($A162,메뉴구조!$A$5:$A$300,0))&amp;""</f>
        <v>종목</v>
      </c>
      <c r="D162" s="19" t="str">
        <f>INDEX(메뉴구조!$D$5:$D$300,MATCH($A162,메뉴구조!$A$5:$A$300,0))&amp;""</f>
        <v>종목상세</v>
      </c>
      <c r="E162" s="19" t="str">
        <f>INDEX(메뉴구조!$E$5:$E$300,MATCH($A162,메뉴구조!$A$5:$A$300,0))&amp;""</f>
        <v>주문 (간편)</v>
      </c>
      <c r="F162" s="9" t="str">
        <f>INDEX(메뉴구조!$G$5:$G$300,MATCH($A162,메뉴구조!$A$5:$A$300,0))&amp;""</f>
        <v>거래 / 종목 / 종목상세 / 주문 (간편)</v>
      </c>
      <c r="G162" s="18">
        <v>2</v>
      </c>
      <c r="H162" s="9" t="s">
        <v>925</v>
      </c>
      <c r="I162" s="9" t="s">
        <v>926</v>
      </c>
      <c r="J162" s="9"/>
      <c r="K162" s="25" t="s">
        <v>13</v>
      </c>
      <c r="L162" s="9" t="s">
        <v>851</v>
      </c>
      <c r="M162" s="9"/>
    </row>
    <row r="163" spans="1:13" ht="37.5" hidden="1">
      <c r="A163" s="18" t="s">
        <v>145</v>
      </c>
      <c r="B163" s="19" t="str">
        <f>INDEX(메뉴구조!$B$5:$B$300,MATCH($A163,메뉴구조!$A$5:$A$300,0))&amp;""</f>
        <v>거래</v>
      </c>
      <c r="C163" s="19" t="str">
        <f>INDEX(메뉴구조!$C$5:$C$300,MATCH($A163,메뉴구조!$A$5:$A$300,0))&amp;""</f>
        <v>종목</v>
      </c>
      <c r="D163" s="19" t="str">
        <f>INDEX(메뉴구조!$D$5:$D$300,MATCH($A163,메뉴구조!$A$5:$A$300,0))&amp;""</f>
        <v>종목상세</v>
      </c>
      <c r="E163" s="19" t="str">
        <f>INDEX(메뉴구조!$E$5:$E$300,MATCH($A163,메뉴구조!$A$5:$A$300,0))&amp;""</f>
        <v>주문 (간편)</v>
      </c>
      <c r="F163" s="9" t="str">
        <f>INDEX(메뉴구조!$G$5:$G$300,MATCH($A163,메뉴구조!$A$5:$A$300,0))&amp;""</f>
        <v>거래 / 종목 / 종목상세 / 주문 (간편)</v>
      </c>
      <c r="G163" s="18">
        <v>3</v>
      </c>
      <c r="H163" s="9" t="s">
        <v>927</v>
      </c>
      <c r="I163" s="9" t="s">
        <v>928</v>
      </c>
      <c r="J163" s="9"/>
      <c r="K163" s="25" t="s">
        <v>13</v>
      </c>
      <c r="L163" s="9" t="s">
        <v>851</v>
      </c>
      <c r="M163" s="9"/>
    </row>
    <row r="164" spans="1:13" ht="50" hidden="1">
      <c r="A164" s="18" t="s">
        <v>145</v>
      </c>
      <c r="B164" s="19" t="str">
        <f>INDEX(메뉴구조!$B$5:$B$300,MATCH($A164,메뉴구조!$A$5:$A$300,0))&amp;""</f>
        <v>거래</v>
      </c>
      <c r="C164" s="19" t="str">
        <f>INDEX(메뉴구조!$C$5:$C$300,MATCH($A164,메뉴구조!$A$5:$A$300,0))&amp;""</f>
        <v>종목</v>
      </c>
      <c r="D164" s="19" t="str">
        <f>INDEX(메뉴구조!$D$5:$D$300,MATCH($A164,메뉴구조!$A$5:$A$300,0))&amp;""</f>
        <v>종목상세</v>
      </c>
      <c r="E164" s="19" t="str">
        <f>INDEX(메뉴구조!$E$5:$E$300,MATCH($A164,메뉴구조!$A$5:$A$300,0))&amp;""</f>
        <v>주문 (간편)</v>
      </c>
      <c r="F164" s="9" t="str">
        <f>INDEX(메뉴구조!$G$5:$G$300,MATCH($A164,메뉴구조!$A$5:$A$300,0))&amp;""</f>
        <v>거래 / 종목 / 종목상세 / 주문 (간편)</v>
      </c>
      <c r="G164" s="18">
        <v>4</v>
      </c>
      <c r="H164" s="9" t="s">
        <v>929</v>
      </c>
      <c r="I164" s="9" t="s">
        <v>930</v>
      </c>
      <c r="J164" s="9" t="s">
        <v>931</v>
      </c>
      <c r="K164" s="25" t="s">
        <v>13</v>
      </c>
      <c r="L164" s="9" t="s">
        <v>851</v>
      </c>
      <c r="M164" s="9"/>
    </row>
    <row r="165" spans="1:13" ht="37.5" hidden="1">
      <c r="A165" s="18" t="s">
        <v>145</v>
      </c>
      <c r="B165" s="19" t="str">
        <f>INDEX(메뉴구조!$B$5:$B$300,MATCH($A165,메뉴구조!$A$5:$A$300,0))&amp;""</f>
        <v>거래</v>
      </c>
      <c r="C165" s="19" t="str">
        <f>INDEX(메뉴구조!$C$5:$C$300,MATCH($A165,메뉴구조!$A$5:$A$300,0))&amp;""</f>
        <v>종목</v>
      </c>
      <c r="D165" s="19" t="str">
        <f>INDEX(메뉴구조!$D$5:$D$300,MATCH($A165,메뉴구조!$A$5:$A$300,0))&amp;""</f>
        <v>종목상세</v>
      </c>
      <c r="E165" s="19" t="str">
        <f>INDEX(메뉴구조!$E$5:$E$300,MATCH($A165,메뉴구조!$A$5:$A$300,0))&amp;""</f>
        <v>주문 (간편)</v>
      </c>
      <c r="F165" s="9" t="str">
        <f>INDEX(메뉴구조!$G$5:$G$300,MATCH($A165,메뉴구조!$A$5:$A$300,0))&amp;""</f>
        <v>거래 / 종목 / 종목상세 / 주문 (간편)</v>
      </c>
      <c r="G165" s="18">
        <v>5</v>
      </c>
      <c r="H165" s="9" t="s">
        <v>932</v>
      </c>
      <c r="I165" s="9" t="s">
        <v>933</v>
      </c>
      <c r="J165" s="9"/>
      <c r="K165" s="25" t="s">
        <v>13</v>
      </c>
      <c r="L165" s="9" t="s">
        <v>851</v>
      </c>
      <c r="M165" s="9"/>
    </row>
    <row r="166" spans="1:13" ht="25" hidden="1">
      <c r="A166" s="18" t="s">
        <v>145</v>
      </c>
      <c r="B166" s="19" t="str">
        <f>INDEX(메뉴구조!$B$5:$B$300,MATCH($A166,메뉴구조!$A$5:$A$300,0))&amp;""</f>
        <v>거래</v>
      </c>
      <c r="C166" s="19" t="str">
        <f>INDEX(메뉴구조!$C$5:$C$300,MATCH($A166,메뉴구조!$A$5:$A$300,0))&amp;""</f>
        <v>종목</v>
      </c>
      <c r="D166" s="19" t="str">
        <f>INDEX(메뉴구조!$D$5:$D$300,MATCH($A166,메뉴구조!$A$5:$A$300,0))&amp;""</f>
        <v>종목상세</v>
      </c>
      <c r="E166" s="19" t="str">
        <f>INDEX(메뉴구조!$E$5:$E$300,MATCH($A166,메뉴구조!$A$5:$A$300,0))&amp;""</f>
        <v>주문 (간편)</v>
      </c>
      <c r="F166" s="9" t="str">
        <f>INDEX(메뉴구조!$G$5:$G$300,MATCH($A166,메뉴구조!$A$5:$A$300,0))&amp;""</f>
        <v>거래 / 종목 / 종목상세 / 주문 (간편)</v>
      </c>
      <c r="G166" s="18">
        <v>6</v>
      </c>
      <c r="H166" s="9" t="s">
        <v>934</v>
      </c>
      <c r="I166" s="9" t="s">
        <v>935</v>
      </c>
      <c r="J166" s="9"/>
      <c r="K166" s="25" t="s">
        <v>13</v>
      </c>
      <c r="L166" s="9" t="s">
        <v>851</v>
      </c>
      <c r="M166" s="9"/>
    </row>
    <row r="167" spans="1:13" ht="75" hidden="1">
      <c r="A167" s="18" t="s">
        <v>145</v>
      </c>
      <c r="B167" s="19" t="str">
        <f>INDEX(메뉴구조!$B$5:$B$300,MATCH($A167,메뉴구조!$A$5:$A$300,0))&amp;""</f>
        <v>거래</v>
      </c>
      <c r="C167" s="19" t="str">
        <f>INDEX(메뉴구조!$C$5:$C$300,MATCH($A167,메뉴구조!$A$5:$A$300,0))&amp;""</f>
        <v>종목</v>
      </c>
      <c r="D167" s="19" t="str">
        <f>INDEX(메뉴구조!$D$5:$D$300,MATCH($A167,메뉴구조!$A$5:$A$300,0))&amp;""</f>
        <v>종목상세</v>
      </c>
      <c r="E167" s="19" t="str">
        <f>INDEX(메뉴구조!$E$5:$E$300,MATCH($A167,메뉴구조!$A$5:$A$300,0))&amp;""</f>
        <v>주문 (간편)</v>
      </c>
      <c r="F167" s="9" t="str">
        <f>INDEX(메뉴구조!$G$5:$G$300,MATCH($A167,메뉴구조!$A$5:$A$300,0))&amp;""</f>
        <v>거래 / 종목 / 종목상세 / 주문 (간편)</v>
      </c>
      <c r="G167" s="18">
        <v>7</v>
      </c>
      <c r="H167" s="31" t="s">
        <v>936</v>
      </c>
      <c r="I167" s="31" t="s">
        <v>937</v>
      </c>
      <c r="J167" s="9"/>
      <c r="K167" s="20" t="s">
        <v>9</v>
      </c>
      <c r="L167" s="9" t="s">
        <v>938</v>
      </c>
      <c r="M167" s="9" t="s">
        <v>939</v>
      </c>
    </row>
    <row r="168" spans="1:13" ht="25" hidden="1">
      <c r="A168" s="18" t="s">
        <v>150</v>
      </c>
      <c r="B168" s="19" t="str">
        <f>INDEX(메뉴구조!$B$5:$B$300,MATCH($A168,메뉴구조!$A$5:$A$300,0))&amp;""</f>
        <v>거래</v>
      </c>
      <c r="C168" s="19" t="str">
        <f>INDEX(메뉴구조!$C$5:$C$300,MATCH($A168,메뉴구조!$A$5:$A$300,0))&amp;""</f>
        <v>종목</v>
      </c>
      <c r="D168" s="19" t="str">
        <f>INDEX(메뉴구조!$D$5:$D$300,MATCH($A168,메뉴구조!$A$5:$A$300,0))&amp;""</f>
        <v>종목상세</v>
      </c>
      <c r="E168" s="19" t="str">
        <f>INDEX(메뉴구조!$E$5:$E$300,MATCH($A168,메뉴구조!$A$5:$A$300,0))&amp;""</f>
        <v>주문 (간편)&gt; 구매&gt; 구매 희망가</v>
      </c>
      <c r="F168" s="9" t="str">
        <f>INDEX(메뉴구조!$G$5:$G$300,MATCH($A168,메뉴구조!$A$5:$A$300,0))&amp;""</f>
        <v>거래 / 종목 / 종목상세 / 주문 (간편)&gt; 구매&gt; 구매 희망가</v>
      </c>
      <c r="G168" s="18">
        <v>1</v>
      </c>
      <c r="H168" s="9" t="s">
        <v>940</v>
      </c>
      <c r="I168" s="9" t="s">
        <v>941</v>
      </c>
      <c r="J168" s="9"/>
      <c r="K168" s="25" t="s">
        <v>13</v>
      </c>
      <c r="L168" s="9" t="s">
        <v>851</v>
      </c>
      <c r="M168" s="9"/>
    </row>
    <row r="169" spans="1:13" ht="37.5" hidden="1">
      <c r="A169" s="18" t="s">
        <v>150</v>
      </c>
      <c r="B169" s="19" t="str">
        <f>INDEX(메뉴구조!$B$5:$B$300,MATCH($A169,메뉴구조!$A$5:$A$300,0))&amp;""</f>
        <v>거래</v>
      </c>
      <c r="C169" s="19" t="str">
        <f>INDEX(메뉴구조!$C$5:$C$300,MATCH($A169,메뉴구조!$A$5:$A$300,0))&amp;""</f>
        <v>종목</v>
      </c>
      <c r="D169" s="19" t="str">
        <f>INDEX(메뉴구조!$D$5:$D$300,MATCH($A169,메뉴구조!$A$5:$A$300,0))&amp;""</f>
        <v>종목상세</v>
      </c>
      <c r="E169" s="19" t="str">
        <f>INDEX(메뉴구조!$E$5:$E$300,MATCH($A169,메뉴구조!$A$5:$A$300,0))&amp;""</f>
        <v>주문 (간편)&gt; 구매&gt; 구매 희망가</v>
      </c>
      <c r="F169" s="9" t="str">
        <f>INDEX(메뉴구조!$G$5:$G$300,MATCH($A169,메뉴구조!$A$5:$A$300,0))&amp;""</f>
        <v>거래 / 종목 / 종목상세 / 주문 (간편)&gt; 구매&gt; 구매 희망가</v>
      </c>
      <c r="G169" s="18">
        <v>2</v>
      </c>
      <c r="H169" s="9" t="s">
        <v>942</v>
      </c>
      <c r="I169" s="9" t="s">
        <v>943</v>
      </c>
      <c r="J169" s="9"/>
      <c r="K169" s="25" t="s">
        <v>13</v>
      </c>
      <c r="L169" s="9" t="s">
        <v>851</v>
      </c>
      <c r="M169" s="9"/>
    </row>
    <row r="170" spans="1:13" ht="37.5" hidden="1">
      <c r="A170" s="18" t="s">
        <v>150</v>
      </c>
      <c r="B170" s="19" t="str">
        <f>INDEX(메뉴구조!$B$5:$B$300,MATCH($A170,메뉴구조!$A$5:$A$300,0))&amp;""</f>
        <v>거래</v>
      </c>
      <c r="C170" s="19" t="str">
        <f>INDEX(메뉴구조!$C$5:$C$300,MATCH($A170,메뉴구조!$A$5:$A$300,0))&amp;""</f>
        <v>종목</v>
      </c>
      <c r="D170" s="19" t="str">
        <f>INDEX(메뉴구조!$D$5:$D$300,MATCH($A170,메뉴구조!$A$5:$A$300,0))&amp;""</f>
        <v>종목상세</v>
      </c>
      <c r="E170" s="19" t="str">
        <f>INDEX(메뉴구조!$E$5:$E$300,MATCH($A170,메뉴구조!$A$5:$A$300,0))&amp;""</f>
        <v>주문 (간편)&gt; 구매&gt; 구매 희망가</v>
      </c>
      <c r="F170" s="9" t="str">
        <f>INDEX(메뉴구조!$G$5:$G$300,MATCH($A170,메뉴구조!$A$5:$A$300,0))&amp;""</f>
        <v>거래 / 종목 / 종목상세 / 주문 (간편)&gt; 구매&gt; 구매 희망가</v>
      </c>
      <c r="G170" s="18">
        <v>3</v>
      </c>
      <c r="H170" s="9" t="s">
        <v>944</v>
      </c>
      <c r="I170" s="9" t="s">
        <v>945</v>
      </c>
      <c r="J170" s="9"/>
      <c r="K170" s="25" t="s">
        <v>13</v>
      </c>
      <c r="L170" s="9" t="s">
        <v>851</v>
      </c>
      <c r="M170" s="9"/>
    </row>
    <row r="171" spans="1:13" ht="25" hidden="1">
      <c r="A171" s="18" t="s">
        <v>150</v>
      </c>
      <c r="B171" s="19" t="str">
        <f>INDEX(메뉴구조!$B$5:$B$300,MATCH($A171,메뉴구조!$A$5:$A$300,0))&amp;""</f>
        <v>거래</v>
      </c>
      <c r="C171" s="19" t="str">
        <f>INDEX(메뉴구조!$C$5:$C$300,MATCH($A171,메뉴구조!$A$5:$A$300,0))&amp;""</f>
        <v>종목</v>
      </c>
      <c r="D171" s="19" t="str">
        <f>INDEX(메뉴구조!$D$5:$D$300,MATCH($A171,메뉴구조!$A$5:$A$300,0))&amp;""</f>
        <v>종목상세</v>
      </c>
      <c r="E171" s="19" t="str">
        <f>INDEX(메뉴구조!$E$5:$E$300,MATCH($A171,메뉴구조!$A$5:$A$300,0))&amp;""</f>
        <v>주문 (간편)&gt; 구매&gt; 구매 희망가</v>
      </c>
      <c r="F171" s="9" t="str">
        <f>INDEX(메뉴구조!$G$5:$G$300,MATCH($A171,메뉴구조!$A$5:$A$300,0))&amp;""</f>
        <v>거래 / 종목 / 종목상세 / 주문 (간편)&gt; 구매&gt; 구매 희망가</v>
      </c>
      <c r="G171" s="18">
        <v>4</v>
      </c>
      <c r="H171" s="31" t="s">
        <v>946</v>
      </c>
      <c r="I171" s="31" t="s">
        <v>947</v>
      </c>
      <c r="J171" s="9"/>
      <c r="K171" s="20" t="s">
        <v>9</v>
      </c>
      <c r="L171" s="9" t="s">
        <v>938</v>
      </c>
      <c r="M171" s="9" t="s">
        <v>948</v>
      </c>
    </row>
    <row r="172" spans="1:13" ht="25" hidden="1">
      <c r="A172" s="18" t="s">
        <v>153</v>
      </c>
      <c r="B172" s="19" t="str">
        <f>INDEX(메뉴구조!$B$5:$B$300,MATCH($A172,메뉴구조!$A$5:$A$300,0))&amp;""</f>
        <v>거래</v>
      </c>
      <c r="C172" s="19" t="str">
        <f>INDEX(메뉴구조!$C$5:$C$300,MATCH($A172,메뉴구조!$A$5:$A$300,0))&amp;""</f>
        <v>종목</v>
      </c>
      <c r="D172" s="19" t="str">
        <f>INDEX(메뉴구조!$D$5:$D$300,MATCH($A172,메뉴구조!$A$5:$A$300,0))&amp;""</f>
        <v>종목상세</v>
      </c>
      <c r="E172" s="19" t="str">
        <f>INDEX(메뉴구조!$E$5:$E$300,MATCH($A172,메뉴구조!$A$5:$A$300,0))&amp;""</f>
        <v>주문 (간편)&gt; 구매&gt; 구매 희망가&gt; 구매주문</v>
      </c>
      <c r="F172" s="9" t="str">
        <f>INDEX(메뉴구조!$G$5:$G$300,MATCH($A172,메뉴구조!$A$5:$A$300,0))&amp;""</f>
        <v>거래 / 종목 / 종목상세 / 주문 (간편)&gt; 구매&gt; 구매 희망가&gt; 구매주문</v>
      </c>
      <c r="G172" s="18">
        <v>1</v>
      </c>
      <c r="H172" s="31" t="s">
        <v>949</v>
      </c>
      <c r="I172" s="31" t="s">
        <v>950</v>
      </c>
      <c r="J172" s="9"/>
      <c r="K172" s="20" t="s">
        <v>9</v>
      </c>
      <c r="L172" s="9" t="s">
        <v>938</v>
      </c>
      <c r="M172" s="9" t="s">
        <v>950</v>
      </c>
    </row>
    <row r="173" spans="1:13" ht="37.5" hidden="1">
      <c r="A173" s="18" t="s">
        <v>153</v>
      </c>
      <c r="B173" s="19" t="str">
        <f>INDEX(메뉴구조!$B$5:$B$300,MATCH($A173,메뉴구조!$A$5:$A$300,0))&amp;""</f>
        <v>거래</v>
      </c>
      <c r="C173" s="19" t="str">
        <f>INDEX(메뉴구조!$C$5:$C$300,MATCH($A173,메뉴구조!$A$5:$A$300,0))&amp;""</f>
        <v>종목</v>
      </c>
      <c r="D173" s="19" t="str">
        <f>INDEX(메뉴구조!$D$5:$D$300,MATCH($A173,메뉴구조!$A$5:$A$300,0))&amp;""</f>
        <v>종목상세</v>
      </c>
      <c r="E173" s="19" t="str">
        <f>INDEX(메뉴구조!$E$5:$E$300,MATCH($A173,메뉴구조!$A$5:$A$300,0))&amp;""</f>
        <v>주문 (간편)&gt; 구매&gt; 구매 희망가&gt; 구매주문</v>
      </c>
      <c r="F173" s="9" t="str">
        <f>INDEX(메뉴구조!$G$5:$G$300,MATCH($A173,메뉴구조!$A$5:$A$300,0))&amp;""</f>
        <v>거래 / 종목 / 종목상세 / 주문 (간편)&gt; 구매&gt; 구매 희망가&gt; 구매주문</v>
      </c>
      <c r="G173" s="18">
        <v>2</v>
      </c>
      <c r="H173" s="9" t="s">
        <v>357</v>
      </c>
      <c r="I173" s="9" t="s">
        <v>951</v>
      </c>
      <c r="J173" s="9" t="s">
        <v>952</v>
      </c>
      <c r="K173" s="18" t="s">
        <v>17</v>
      </c>
      <c r="L173" s="9"/>
      <c r="M173" s="9"/>
    </row>
    <row r="174" spans="1:13" ht="25" hidden="1">
      <c r="A174" s="18" t="s">
        <v>153</v>
      </c>
      <c r="B174" s="19" t="str">
        <f>INDEX(메뉴구조!$B$5:$B$300,MATCH($A174,메뉴구조!$A$5:$A$300,0))&amp;""</f>
        <v>거래</v>
      </c>
      <c r="C174" s="19" t="str">
        <f>INDEX(메뉴구조!$C$5:$C$300,MATCH($A174,메뉴구조!$A$5:$A$300,0))&amp;""</f>
        <v>종목</v>
      </c>
      <c r="D174" s="19" t="str">
        <f>INDEX(메뉴구조!$D$5:$D$300,MATCH($A174,메뉴구조!$A$5:$A$300,0))&amp;""</f>
        <v>종목상세</v>
      </c>
      <c r="E174" s="19" t="str">
        <f>INDEX(메뉴구조!$E$5:$E$300,MATCH($A174,메뉴구조!$A$5:$A$300,0))&amp;""</f>
        <v>주문 (간편)&gt; 구매&gt; 구매 희망가&gt; 구매주문</v>
      </c>
      <c r="F174" s="9" t="str">
        <f>INDEX(메뉴구조!$G$5:$G$300,MATCH($A174,메뉴구조!$A$5:$A$300,0))&amp;""</f>
        <v>거래 / 종목 / 종목상세 / 주문 (간편)&gt; 구매&gt; 구매 희망가&gt; 구매주문</v>
      </c>
      <c r="G174" s="18">
        <v>3</v>
      </c>
      <c r="H174" s="31" t="s">
        <v>953</v>
      </c>
      <c r="I174" s="31" t="s">
        <v>954</v>
      </c>
      <c r="J174" s="9"/>
      <c r="K174" s="20" t="s">
        <v>9</v>
      </c>
      <c r="L174" s="9" t="s">
        <v>938</v>
      </c>
      <c r="M174" s="9" t="s">
        <v>955</v>
      </c>
    </row>
    <row r="175" spans="1:13" ht="50" hidden="1">
      <c r="A175" s="18" t="s">
        <v>157</v>
      </c>
      <c r="B175" s="19" t="str">
        <f>INDEX(메뉴구조!$B$5:$B$300,MATCH($A175,메뉴구조!$A$5:$A$300,0))&amp;""</f>
        <v>거래</v>
      </c>
      <c r="C175" s="19" t="str">
        <f>INDEX(메뉴구조!$C$5:$C$300,MATCH($A175,메뉴구조!$A$5:$A$300,0))&amp;""</f>
        <v>종목</v>
      </c>
      <c r="D175" s="19" t="str">
        <f>INDEX(메뉴구조!$D$5:$D$300,MATCH($A175,메뉴구조!$A$5:$A$300,0))&amp;""</f>
        <v>종목상세</v>
      </c>
      <c r="E175" s="19" t="str">
        <f>INDEX(메뉴구조!$E$5:$E$300,MATCH($A175,메뉴구조!$A$5:$A$300,0))&amp;""</f>
        <v>주문 (간편)&gt; 구매&gt; 구매 희망가&gt; 구매완료</v>
      </c>
      <c r="F175" s="9" t="str">
        <f>INDEX(메뉴구조!$G$5:$G$300,MATCH($A175,메뉴구조!$A$5:$A$300,0))&amp;""</f>
        <v>거래 / 종목 / 종목상세 / 주문 (간편)&gt; 구매&gt; 구매 희망가&gt; 구매완료</v>
      </c>
      <c r="G175" s="18">
        <v>1</v>
      </c>
      <c r="H175" s="31" t="s">
        <v>956</v>
      </c>
      <c r="I175" s="31" t="s">
        <v>957</v>
      </c>
      <c r="J175" s="9" t="s">
        <v>958</v>
      </c>
      <c r="K175" s="20" t="s">
        <v>9</v>
      </c>
      <c r="L175" s="9" t="s">
        <v>959</v>
      </c>
      <c r="M175" s="9" t="s">
        <v>960</v>
      </c>
    </row>
    <row r="176" spans="1:13" ht="37.5" hidden="1">
      <c r="A176" s="18" t="s">
        <v>157</v>
      </c>
      <c r="B176" s="19" t="str">
        <f>INDEX(메뉴구조!$B$5:$B$300,MATCH($A176,메뉴구조!$A$5:$A$300,0))&amp;""</f>
        <v>거래</v>
      </c>
      <c r="C176" s="19" t="str">
        <f>INDEX(메뉴구조!$C$5:$C$300,MATCH($A176,메뉴구조!$A$5:$A$300,0))&amp;""</f>
        <v>종목</v>
      </c>
      <c r="D176" s="19" t="str">
        <f>INDEX(메뉴구조!$D$5:$D$300,MATCH($A176,메뉴구조!$A$5:$A$300,0))&amp;""</f>
        <v>종목상세</v>
      </c>
      <c r="E176" s="19" t="str">
        <f>INDEX(메뉴구조!$E$5:$E$300,MATCH($A176,메뉴구조!$A$5:$A$300,0))&amp;""</f>
        <v>주문 (간편)&gt; 구매&gt; 구매 희망가&gt; 구매완료</v>
      </c>
      <c r="F176" s="9" t="str">
        <f>INDEX(메뉴구조!$G$5:$G$300,MATCH($A176,메뉴구조!$A$5:$A$300,0))&amp;""</f>
        <v>거래 / 종목 / 종목상세 / 주문 (간편)&gt; 구매&gt; 구매 희망가&gt; 구매완료</v>
      </c>
      <c r="G176" s="18">
        <v>2</v>
      </c>
      <c r="H176" s="9" t="s">
        <v>357</v>
      </c>
      <c r="I176" s="9" t="s">
        <v>961</v>
      </c>
      <c r="J176" s="9"/>
      <c r="K176" s="18" t="s">
        <v>17</v>
      </c>
      <c r="L176" s="9"/>
      <c r="M176" s="9"/>
    </row>
    <row r="177" spans="1:13" ht="25" hidden="1">
      <c r="A177" s="18" t="s">
        <v>157</v>
      </c>
      <c r="B177" s="19" t="str">
        <f>INDEX(메뉴구조!$B$5:$B$300,MATCH($A177,메뉴구조!$A$5:$A$300,0))&amp;""</f>
        <v>거래</v>
      </c>
      <c r="C177" s="19" t="str">
        <f>INDEX(메뉴구조!$C$5:$C$300,MATCH($A177,메뉴구조!$A$5:$A$300,0))&amp;""</f>
        <v>종목</v>
      </c>
      <c r="D177" s="19" t="str">
        <f>INDEX(메뉴구조!$D$5:$D$300,MATCH($A177,메뉴구조!$A$5:$A$300,0))&amp;""</f>
        <v>종목상세</v>
      </c>
      <c r="E177" s="19" t="str">
        <f>INDEX(메뉴구조!$E$5:$E$300,MATCH($A177,메뉴구조!$A$5:$A$300,0))&amp;""</f>
        <v>주문 (간편)&gt; 구매&gt; 구매 희망가&gt; 구매완료</v>
      </c>
      <c r="F177" s="9" t="str">
        <f>INDEX(메뉴구조!$G$5:$G$300,MATCH($A177,메뉴구조!$A$5:$A$300,0))&amp;""</f>
        <v>거래 / 종목 / 종목상세 / 주문 (간편)&gt; 구매&gt; 구매 희망가&gt; 구매완료</v>
      </c>
      <c r="G177" s="18">
        <v>3</v>
      </c>
      <c r="H177" s="9" t="s">
        <v>953</v>
      </c>
      <c r="I177" s="9" t="s">
        <v>962</v>
      </c>
      <c r="J177" s="9"/>
      <c r="K177" s="18" t="s">
        <v>17</v>
      </c>
      <c r="L177" s="9"/>
      <c r="M177" s="9"/>
    </row>
    <row r="178" spans="1:13" ht="37.5" hidden="1">
      <c r="A178" s="18" t="s">
        <v>161</v>
      </c>
      <c r="B178" s="19" t="str">
        <f>INDEX(메뉴구조!$B$5:$B$300,MATCH($A178,메뉴구조!$A$5:$A$300,0))&amp;""</f>
        <v>거래</v>
      </c>
      <c r="C178" s="19" t="str">
        <f>INDEX(메뉴구조!$C$5:$C$300,MATCH($A178,메뉴구조!$A$5:$A$300,0))&amp;""</f>
        <v>종목</v>
      </c>
      <c r="D178" s="19" t="str">
        <f>INDEX(메뉴구조!$D$5:$D$300,MATCH($A178,메뉴구조!$A$5:$A$300,0))&amp;""</f>
        <v>종목상세</v>
      </c>
      <c r="E178" s="19" t="str">
        <f>INDEX(메뉴구조!$E$5:$E$300,MATCH($A178,메뉴구조!$A$5:$A$300,0))&amp;""</f>
        <v>주문 (간편)&gt; 구매&gt; AI매칭</v>
      </c>
      <c r="F178" s="9" t="str">
        <f>INDEX(메뉴구조!$G$5:$G$300,MATCH($A178,메뉴구조!$A$5:$A$300,0))&amp;""</f>
        <v>거래 / 종목 / 종목상세 / 주문 (간편)&gt; 구매&gt; AI매칭</v>
      </c>
      <c r="G178" s="18">
        <v>1</v>
      </c>
      <c r="H178" s="9" t="s">
        <v>963</v>
      </c>
      <c r="I178" s="9" t="s">
        <v>964</v>
      </c>
      <c r="J178" s="9" t="s">
        <v>965</v>
      </c>
      <c r="K178" s="18" t="s">
        <v>17</v>
      </c>
      <c r="L178" s="9"/>
      <c r="M178" s="9"/>
    </row>
    <row r="179" spans="1:13" ht="112.5" hidden="1">
      <c r="A179" s="18" t="s">
        <v>161</v>
      </c>
      <c r="B179" s="19" t="str">
        <f>INDEX(메뉴구조!$B$5:$B$300,MATCH($A179,메뉴구조!$A$5:$A$300,0))&amp;""</f>
        <v>거래</v>
      </c>
      <c r="C179" s="19" t="str">
        <f>INDEX(메뉴구조!$C$5:$C$300,MATCH($A179,메뉴구조!$A$5:$A$300,0))&amp;""</f>
        <v>종목</v>
      </c>
      <c r="D179" s="19" t="str">
        <f>INDEX(메뉴구조!$D$5:$D$300,MATCH($A179,메뉴구조!$A$5:$A$300,0))&amp;""</f>
        <v>종목상세</v>
      </c>
      <c r="E179" s="19" t="str">
        <f>INDEX(메뉴구조!$E$5:$E$300,MATCH($A179,메뉴구조!$A$5:$A$300,0))&amp;""</f>
        <v>주문 (간편)&gt; 구매&gt; AI매칭</v>
      </c>
      <c r="F179" s="9" t="str">
        <f>INDEX(메뉴구조!$G$5:$G$300,MATCH($A179,메뉴구조!$A$5:$A$300,0))&amp;""</f>
        <v>거래 / 종목 / 종목상세 / 주문 (간편)&gt; 구매&gt; AI매칭</v>
      </c>
      <c r="G179" s="18">
        <v>2</v>
      </c>
      <c r="H179" s="31" t="s">
        <v>966</v>
      </c>
      <c r="I179" s="31" t="s">
        <v>967</v>
      </c>
      <c r="J179" s="9" t="s">
        <v>968</v>
      </c>
      <c r="K179" s="20" t="s">
        <v>9</v>
      </c>
      <c r="L179" s="9" t="s">
        <v>969</v>
      </c>
      <c r="M179" s="9" t="s">
        <v>970</v>
      </c>
    </row>
    <row r="180" spans="1:13" ht="37.5" hidden="1">
      <c r="A180" s="18" t="s">
        <v>161</v>
      </c>
      <c r="B180" s="19" t="str">
        <f>INDEX(메뉴구조!$B$5:$B$300,MATCH($A180,메뉴구조!$A$5:$A$300,0))&amp;""</f>
        <v>거래</v>
      </c>
      <c r="C180" s="19" t="str">
        <f>INDEX(메뉴구조!$C$5:$C$300,MATCH($A180,메뉴구조!$A$5:$A$300,0))&amp;""</f>
        <v>종목</v>
      </c>
      <c r="D180" s="19" t="str">
        <f>INDEX(메뉴구조!$D$5:$D$300,MATCH($A180,메뉴구조!$A$5:$A$300,0))&amp;""</f>
        <v>종목상세</v>
      </c>
      <c r="E180" s="19" t="str">
        <f>INDEX(메뉴구조!$E$5:$E$300,MATCH($A180,메뉴구조!$A$5:$A$300,0))&amp;""</f>
        <v>주문 (간편)&gt; 구매&gt; AI매칭</v>
      </c>
      <c r="F180" s="9" t="str">
        <f>INDEX(메뉴구조!$G$5:$G$300,MATCH($A180,메뉴구조!$A$5:$A$300,0))&amp;""</f>
        <v>거래 / 종목 / 종목상세 / 주문 (간편)&gt; 구매&gt; AI매칭</v>
      </c>
      <c r="G180" s="18">
        <v>3</v>
      </c>
      <c r="H180" s="9" t="s">
        <v>971</v>
      </c>
      <c r="I180" s="9" t="s">
        <v>972</v>
      </c>
      <c r="J180" s="9"/>
      <c r="K180" s="18" t="s">
        <v>17</v>
      </c>
      <c r="L180" s="9"/>
      <c r="M180" s="9"/>
    </row>
    <row r="181" spans="1:13" ht="25" hidden="1">
      <c r="A181" s="18" t="s">
        <v>161</v>
      </c>
      <c r="B181" s="19" t="str">
        <f>INDEX(메뉴구조!$B$5:$B$300,MATCH($A181,메뉴구조!$A$5:$A$300,0))&amp;""</f>
        <v>거래</v>
      </c>
      <c r="C181" s="19" t="str">
        <f>INDEX(메뉴구조!$C$5:$C$300,MATCH($A181,메뉴구조!$A$5:$A$300,0))&amp;""</f>
        <v>종목</v>
      </c>
      <c r="D181" s="19" t="str">
        <f>INDEX(메뉴구조!$D$5:$D$300,MATCH($A181,메뉴구조!$A$5:$A$300,0))&amp;""</f>
        <v>종목상세</v>
      </c>
      <c r="E181" s="19" t="str">
        <f>INDEX(메뉴구조!$E$5:$E$300,MATCH($A181,메뉴구조!$A$5:$A$300,0))&amp;""</f>
        <v>주문 (간편)&gt; 구매&gt; AI매칭</v>
      </c>
      <c r="F181" s="9" t="str">
        <f>INDEX(메뉴구조!$G$5:$G$300,MATCH($A181,메뉴구조!$A$5:$A$300,0))&amp;""</f>
        <v>거래 / 종목 / 종목상세 / 주문 (간편)&gt; 구매&gt; AI매칭</v>
      </c>
      <c r="G181" s="18">
        <v>4</v>
      </c>
      <c r="H181" s="31" t="s">
        <v>973</v>
      </c>
      <c r="I181" s="31" t="s">
        <v>974</v>
      </c>
      <c r="J181" s="9"/>
      <c r="K181" s="20" t="s">
        <v>9</v>
      </c>
      <c r="L181" s="9" t="s">
        <v>938</v>
      </c>
      <c r="M181" s="9" t="s">
        <v>975</v>
      </c>
    </row>
    <row r="182" spans="1:13" ht="25" hidden="1">
      <c r="A182" s="18" t="s">
        <v>165</v>
      </c>
      <c r="B182" s="19" t="str">
        <f>INDEX(메뉴구조!$B$5:$B$300,MATCH($A182,메뉴구조!$A$5:$A$300,0))&amp;""</f>
        <v>거래</v>
      </c>
      <c r="C182" s="19" t="str">
        <f>INDEX(메뉴구조!$C$5:$C$300,MATCH($A182,메뉴구조!$A$5:$A$300,0))&amp;""</f>
        <v>종목</v>
      </c>
      <c r="D182" s="19" t="str">
        <f>INDEX(메뉴구조!$D$5:$D$300,MATCH($A182,메뉴구조!$A$5:$A$300,0))&amp;""</f>
        <v>종목상세</v>
      </c>
      <c r="E182" s="19" t="str">
        <f>INDEX(메뉴구조!$E$5:$E$300,MATCH($A182,메뉴구조!$A$5:$A$300,0))&amp;""</f>
        <v>주문 (간편)&gt; 구매&gt; AI매칭&gt; 구매주문</v>
      </c>
      <c r="F182" s="9" t="str">
        <f>INDEX(메뉴구조!$G$5:$G$300,MATCH($A182,메뉴구조!$A$5:$A$300,0))&amp;""</f>
        <v>거래 / 종목 / 종목상세 / 주문 (간편)&gt; 구매&gt; AI매칭&gt; 구매주문</v>
      </c>
      <c r="G182" s="18">
        <v>1</v>
      </c>
      <c r="H182" s="31" t="s">
        <v>949</v>
      </c>
      <c r="I182" s="31" t="s">
        <v>976</v>
      </c>
      <c r="J182" s="9"/>
      <c r="K182" s="20" t="s">
        <v>9</v>
      </c>
      <c r="L182" s="9" t="s">
        <v>938</v>
      </c>
      <c r="M182" s="9" t="s">
        <v>976</v>
      </c>
    </row>
    <row r="183" spans="1:13" ht="37.5" hidden="1">
      <c r="A183" s="18" t="s">
        <v>165</v>
      </c>
      <c r="B183" s="19" t="str">
        <f>INDEX(메뉴구조!$B$5:$B$300,MATCH($A183,메뉴구조!$A$5:$A$300,0))&amp;""</f>
        <v>거래</v>
      </c>
      <c r="C183" s="19" t="str">
        <f>INDEX(메뉴구조!$C$5:$C$300,MATCH($A183,메뉴구조!$A$5:$A$300,0))&amp;""</f>
        <v>종목</v>
      </c>
      <c r="D183" s="19" t="str">
        <f>INDEX(메뉴구조!$D$5:$D$300,MATCH($A183,메뉴구조!$A$5:$A$300,0))&amp;""</f>
        <v>종목상세</v>
      </c>
      <c r="E183" s="19" t="str">
        <f>INDEX(메뉴구조!$E$5:$E$300,MATCH($A183,메뉴구조!$A$5:$A$300,0))&amp;""</f>
        <v>주문 (간편)&gt; 구매&gt; AI매칭&gt; 구매주문</v>
      </c>
      <c r="F183" s="9" t="str">
        <f>INDEX(메뉴구조!$G$5:$G$300,MATCH($A183,메뉴구조!$A$5:$A$300,0))&amp;""</f>
        <v>거래 / 종목 / 종목상세 / 주문 (간편)&gt; 구매&gt; AI매칭&gt; 구매주문</v>
      </c>
      <c r="G183" s="18">
        <v>2</v>
      </c>
      <c r="H183" s="9" t="s">
        <v>357</v>
      </c>
      <c r="I183" s="9" t="s">
        <v>977</v>
      </c>
      <c r="J183" s="9"/>
      <c r="K183" s="18" t="s">
        <v>17</v>
      </c>
      <c r="L183" s="9"/>
      <c r="M183" s="9"/>
    </row>
    <row r="184" spans="1:13" ht="37.5" hidden="1">
      <c r="A184" s="18" t="s">
        <v>165</v>
      </c>
      <c r="B184" s="19" t="str">
        <f>INDEX(메뉴구조!$B$5:$B$300,MATCH($A184,메뉴구조!$A$5:$A$300,0))&amp;""</f>
        <v>거래</v>
      </c>
      <c r="C184" s="19" t="str">
        <f>INDEX(메뉴구조!$C$5:$C$300,MATCH($A184,메뉴구조!$A$5:$A$300,0))&amp;""</f>
        <v>종목</v>
      </c>
      <c r="D184" s="19" t="str">
        <f>INDEX(메뉴구조!$D$5:$D$300,MATCH($A184,메뉴구조!$A$5:$A$300,0))&amp;""</f>
        <v>종목상세</v>
      </c>
      <c r="E184" s="19" t="str">
        <f>INDEX(메뉴구조!$E$5:$E$300,MATCH($A184,메뉴구조!$A$5:$A$300,0))&amp;""</f>
        <v>주문 (간편)&gt; 구매&gt; AI매칭&gt; 구매주문</v>
      </c>
      <c r="F184" s="9" t="str">
        <f>INDEX(메뉴구조!$G$5:$G$300,MATCH($A184,메뉴구조!$A$5:$A$300,0))&amp;""</f>
        <v>거래 / 종목 / 종목상세 / 주문 (간편)&gt; 구매&gt; AI매칭&gt; 구매주문</v>
      </c>
      <c r="G184" s="18">
        <v>3</v>
      </c>
      <c r="H184" s="31" t="s">
        <v>978</v>
      </c>
      <c r="I184" s="31" t="s">
        <v>979</v>
      </c>
      <c r="J184" s="9"/>
      <c r="K184" s="20" t="s">
        <v>9</v>
      </c>
      <c r="L184" s="9" t="s">
        <v>938</v>
      </c>
      <c r="M184" s="9" t="s">
        <v>980</v>
      </c>
    </row>
    <row r="185" spans="1:13" ht="37.5" hidden="1">
      <c r="A185" s="18" t="s">
        <v>165</v>
      </c>
      <c r="B185" s="19" t="str">
        <f>INDEX(메뉴구조!$B$5:$B$300,MATCH($A185,메뉴구조!$A$5:$A$300,0))&amp;""</f>
        <v>거래</v>
      </c>
      <c r="C185" s="19" t="str">
        <f>INDEX(메뉴구조!$C$5:$C$300,MATCH($A185,메뉴구조!$A$5:$A$300,0))&amp;""</f>
        <v>종목</v>
      </c>
      <c r="D185" s="19" t="str">
        <f>INDEX(메뉴구조!$D$5:$D$300,MATCH($A185,메뉴구조!$A$5:$A$300,0))&amp;""</f>
        <v>종목상세</v>
      </c>
      <c r="E185" s="19" t="str">
        <f>INDEX(메뉴구조!$E$5:$E$300,MATCH($A185,메뉴구조!$A$5:$A$300,0))&amp;""</f>
        <v>주문 (간편)&gt; 구매&gt; AI매칭&gt; 구매주문</v>
      </c>
      <c r="F185" s="9" t="str">
        <f>INDEX(메뉴구조!$G$5:$G$300,MATCH($A185,메뉴구조!$A$5:$A$300,0))&amp;""</f>
        <v>거래 / 종목 / 종목상세 / 주문 (간편)&gt; 구매&gt; AI매칭&gt; 구매주문</v>
      </c>
      <c r="G185" s="18">
        <v>4</v>
      </c>
      <c r="H185" s="9" t="s">
        <v>981</v>
      </c>
      <c r="I185" s="9" t="s">
        <v>982</v>
      </c>
      <c r="J185" s="9" t="s">
        <v>983</v>
      </c>
      <c r="K185" s="18" t="s">
        <v>17</v>
      </c>
      <c r="L185" s="9"/>
      <c r="M185" s="9"/>
    </row>
    <row r="186" spans="1:13" ht="25" hidden="1">
      <c r="A186" s="18" t="s">
        <v>165</v>
      </c>
      <c r="B186" s="19" t="str">
        <f>INDEX(메뉴구조!$B$5:$B$300,MATCH($A186,메뉴구조!$A$5:$A$300,0))&amp;""</f>
        <v>거래</v>
      </c>
      <c r="C186" s="19" t="str">
        <f>INDEX(메뉴구조!$C$5:$C$300,MATCH($A186,메뉴구조!$A$5:$A$300,0))&amp;""</f>
        <v>종목</v>
      </c>
      <c r="D186" s="19" t="str">
        <f>INDEX(메뉴구조!$D$5:$D$300,MATCH($A186,메뉴구조!$A$5:$A$300,0))&amp;""</f>
        <v>종목상세</v>
      </c>
      <c r="E186" s="19" t="str">
        <f>INDEX(메뉴구조!$E$5:$E$300,MATCH($A186,메뉴구조!$A$5:$A$300,0))&amp;""</f>
        <v>주문 (간편)&gt; 구매&gt; AI매칭&gt; 구매주문</v>
      </c>
      <c r="F186" s="9" t="str">
        <f>INDEX(메뉴구조!$G$5:$G$300,MATCH($A186,메뉴구조!$A$5:$A$300,0))&amp;""</f>
        <v>거래 / 종목 / 종목상세 / 주문 (간편)&gt; 구매&gt; AI매칭&gt; 구매주문</v>
      </c>
      <c r="G186" s="18">
        <v>5</v>
      </c>
      <c r="H186" s="31" t="s">
        <v>953</v>
      </c>
      <c r="I186" s="31" t="s">
        <v>984</v>
      </c>
      <c r="J186" s="9"/>
      <c r="K186" s="20" t="s">
        <v>9</v>
      </c>
      <c r="L186" s="9" t="s">
        <v>938</v>
      </c>
      <c r="M186" s="9" t="s">
        <v>985</v>
      </c>
    </row>
    <row r="187" spans="1:13" ht="37.5" hidden="1">
      <c r="A187" s="18" t="s">
        <v>168</v>
      </c>
      <c r="B187" s="19" t="str">
        <f>INDEX(메뉴구조!$B$5:$B$300,MATCH($A187,메뉴구조!$A$5:$A$300,0))&amp;""</f>
        <v>거래</v>
      </c>
      <c r="C187" s="19" t="str">
        <f>INDEX(메뉴구조!$C$5:$C$300,MATCH($A187,메뉴구조!$A$5:$A$300,0))&amp;""</f>
        <v>종목</v>
      </c>
      <c r="D187" s="19" t="str">
        <f>INDEX(메뉴구조!$D$5:$D$300,MATCH($A187,메뉴구조!$A$5:$A$300,0))&amp;""</f>
        <v>종목상세</v>
      </c>
      <c r="E187" s="19" t="str">
        <f>INDEX(메뉴구조!$E$5:$E$300,MATCH($A187,메뉴구조!$A$5:$A$300,0))&amp;""</f>
        <v>주문 (간편)&gt; 구매&gt; AI매칭&gt; 구매완료</v>
      </c>
      <c r="F187" s="9" t="str">
        <f>INDEX(메뉴구조!$G$5:$G$300,MATCH($A187,메뉴구조!$A$5:$A$300,0))&amp;""</f>
        <v>거래 / 종목 / 종목상세 / 주문 (간편)&gt; 구매&gt; AI매칭&gt; 구매완료</v>
      </c>
      <c r="G187" s="18">
        <v>1</v>
      </c>
      <c r="H187" s="31" t="s">
        <v>956</v>
      </c>
      <c r="I187" s="31" t="s">
        <v>986</v>
      </c>
      <c r="J187" s="9"/>
      <c r="K187" s="20" t="s">
        <v>9</v>
      </c>
      <c r="L187" s="9" t="s">
        <v>959</v>
      </c>
      <c r="M187" s="9" t="s">
        <v>987</v>
      </c>
    </row>
    <row r="188" spans="1:13" ht="37.5" hidden="1">
      <c r="A188" s="18" t="s">
        <v>168</v>
      </c>
      <c r="B188" s="19" t="str">
        <f>INDEX(메뉴구조!$B$5:$B$300,MATCH($A188,메뉴구조!$A$5:$A$300,0))&amp;""</f>
        <v>거래</v>
      </c>
      <c r="C188" s="19" t="str">
        <f>INDEX(메뉴구조!$C$5:$C$300,MATCH($A188,메뉴구조!$A$5:$A$300,0))&amp;""</f>
        <v>종목</v>
      </c>
      <c r="D188" s="19" t="str">
        <f>INDEX(메뉴구조!$D$5:$D$300,MATCH($A188,메뉴구조!$A$5:$A$300,0))&amp;""</f>
        <v>종목상세</v>
      </c>
      <c r="E188" s="19" t="str">
        <f>INDEX(메뉴구조!$E$5:$E$300,MATCH($A188,메뉴구조!$A$5:$A$300,0))&amp;""</f>
        <v>주문 (간편)&gt; 구매&gt; AI매칭&gt; 구매완료</v>
      </c>
      <c r="F188" s="9" t="str">
        <f>INDEX(메뉴구조!$G$5:$G$300,MATCH($A188,메뉴구조!$A$5:$A$300,0))&amp;""</f>
        <v>거래 / 종목 / 종목상세 / 주문 (간편)&gt; 구매&gt; AI매칭&gt; 구매완료</v>
      </c>
      <c r="G188" s="18">
        <v>2</v>
      </c>
      <c r="H188" s="9" t="s">
        <v>357</v>
      </c>
      <c r="I188" s="9" t="s">
        <v>977</v>
      </c>
      <c r="J188" s="9"/>
      <c r="K188" s="18" t="s">
        <v>17</v>
      </c>
      <c r="L188" s="9"/>
      <c r="M188" s="9"/>
    </row>
    <row r="189" spans="1:13" ht="25" hidden="1">
      <c r="A189" s="18" t="s">
        <v>168</v>
      </c>
      <c r="B189" s="19" t="str">
        <f>INDEX(메뉴구조!$B$5:$B$300,MATCH($A189,메뉴구조!$A$5:$A$300,0))&amp;""</f>
        <v>거래</v>
      </c>
      <c r="C189" s="19" t="str">
        <f>INDEX(메뉴구조!$C$5:$C$300,MATCH($A189,메뉴구조!$A$5:$A$300,0))&amp;""</f>
        <v>종목</v>
      </c>
      <c r="D189" s="19" t="str">
        <f>INDEX(메뉴구조!$D$5:$D$300,MATCH($A189,메뉴구조!$A$5:$A$300,0))&amp;""</f>
        <v>종목상세</v>
      </c>
      <c r="E189" s="19" t="str">
        <f>INDEX(메뉴구조!$E$5:$E$300,MATCH($A189,메뉴구조!$A$5:$A$300,0))&amp;""</f>
        <v>주문 (간편)&gt; 구매&gt; AI매칭&gt; 구매완료</v>
      </c>
      <c r="F189" s="9" t="str">
        <f>INDEX(메뉴구조!$G$5:$G$300,MATCH($A189,메뉴구조!$A$5:$A$300,0))&amp;""</f>
        <v>거래 / 종목 / 종목상세 / 주문 (간편)&gt; 구매&gt; AI매칭&gt; 구매완료</v>
      </c>
      <c r="G189" s="18">
        <v>3</v>
      </c>
      <c r="H189" s="9" t="s">
        <v>978</v>
      </c>
      <c r="I189" s="9" t="s">
        <v>988</v>
      </c>
      <c r="J189" s="9"/>
      <c r="K189" s="18" t="s">
        <v>17</v>
      </c>
      <c r="L189" s="9"/>
      <c r="M189" s="9"/>
    </row>
    <row r="190" spans="1:13" ht="25" hidden="1">
      <c r="A190" s="18" t="s">
        <v>168</v>
      </c>
      <c r="B190" s="19" t="str">
        <f>INDEX(메뉴구조!$B$5:$B$300,MATCH($A190,메뉴구조!$A$5:$A$300,0))&amp;""</f>
        <v>거래</v>
      </c>
      <c r="C190" s="19" t="str">
        <f>INDEX(메뉴구조!$C$5:$C$300,MATCH($A190,메뉴구조!$A$5:$A$300,0))&amp;""</f>
        <v>종목</v>
      </c>
      <c r="D190" s="19" t="str">
        <f>INDEX(메뉴구조!$D$5:$D$300,MATCH($A190,메뉴구조!$A$5:$A$300,0))&amp;""</f>
        <v>종목상세</v>
      </c>
      <c r="E190" s="19" t="str">
        <f>INDEX(메뉴구조!$E$5:$E$300,MATCH($A190,메뉴구조!$A$5:$A$300,0))&amp;""</f>
        <v>주문 (간편)&gt; 구매&gt; AI매칭&gt; 구매완료</v>
      </c>
      <c r="F190" s="9" t="str">
        <f>INDEX(메뉴구조!$G$5:$G$300,MATCH($A190,메뉴구조!$A$5:$A$300,0))&amp;""</f>
        <v>거래 / 종목 / 종목상세 / 주문 (간편)&gt; 구매&gt; AI매칭&gt; 구매완료</v>
      </c>
      <c r="G190" s="18">
        <v>4</v>
      </c>
      <c r="H190" s="9" t="s">
        <v>953</v>
      </c>
      <c r="I190" s="9" t="s">
        <v>989</v>
      </c>
      <c r="J190" s="9"/>
      <c r="K190" s="18" t="s">
        <v>17</v>
      </c>
      <c r="L190" s="9"/>
      <c r="M190" s="9"/>
    </row>
    <row r="191" spans="1:13" ht="25" hidden="1">
      <c r="A191" s="18" t="s">
        <v>171</v>
      </c>
      <c r="B191" s="19" t="str">
        <f>INDEX(메뉴구조!$B$5:$B$300,MATCH($A191,메뉴구조!$A$5:$A$300,0))&amp;""</f>
        <v>거래</v>
      </c>
      <c r="C191" s="19" t="str">
        <f>INDEX(메뉴구조!$C$5:$C$300,MATCH($A191,메뉴구조!$A$5:$A$300,0))&amp;""</f>
        <v>종목</v>
      </c>
      <c r="D191" s="19" t="str">
        <f>INDEX(메뉴구조!$D$5:$D$300,MATCH($A191,메뉴구조!$A$5:$A$300,0))&amp;""</f>
        <v>종목상세</v>
      </c>
      <c r="E191" s="19" t="str">
        <f>INDEX(메뉴구조!$E$5:$E$300,MATCH($A191,메뉴구조!$A$5:$A$300,0))&amp;""</f>
        <v>주문 (간편)&gt; 판매&gt; 판매 희망가</v>
      </c>
      <c r="F191" s="9" t="str">
        <f>INDEX(메뉴구조!$G$5:$G$300,MATCH($A191,메뉴구조!$A$5:$A$300,0))&amp;""</f>
        <v>거래 / 종목 / 종목상세 / 주문 (간편)&gt; 판매&gt; 판매 희망가</v>
      </c>
      <c r="G191" s="18">
        <v>1</v>
      </c>
      <c r="H191" s="9" t="s">
        <v>990</v>
      </c>
      <c r="I191" s="9" t="s">
        <v>991</v>
      </c>
      <c r="J191" s="9"/>
      <c r="K191" s="25" t="s">
        <v>13</v>
      </c>
      <c r="L191" s="9" t="s">
        <v>851</v>
      </c>
      <c r="M191" s="9"/>
    </row>
    <row r="192" spans="1:13" ht="25" hidden="1">
      <c r="A192" s="18" t="s">
        <v>171</v>
      </c>
      <c r="B192" s="19" t="str">
        <f>INDEX(메뉴구조!$B$5:$B$300,MATCH($A192,메뉴구조!$A$5:$A$300,0))&amp;""</f>
        <v>거래</v>
      </c>
      <c r="C192" s="19" t="str">
        <f>INDEX(메뉴구조!$C$5:$C$300,MATCH($A192,메뉴구조!$A$5:$A$300,0))&amp;""</f>
        <v>종목</v>
      </c>
      <c r="D192" s="19" t="str">
        <f>INDEX(메뉴구조!$D$5:$D$300,MATCH($A192,메뉴구조!$A$5:$A$300,0))&amp;""</f>
        <v>종목상세</v>
      </c>
      <c r="E192" s="19" t="str">
        <f>INDEX(메뉴구조!$E$5:$E$300,MATCH($A192,메뉴구조!$A$5:$A$300,0))&amp;""</f>
        <v>주문 (간편)&gt; 판매&gt; 판매 희망가</v>
      </c>
      <c r="F192" s="9" t="str">
        <f>INDEX(메뉴구조!$G$5:$G$300,MATCH($A192,메뉴구조!$A$5:$A$300,0))&amp;""</f>
        <v>거래 / 종목 / 종목상세 / 주문 (간편)&gt; 판매&gt; 판매 희망가</v>
      </c>
      <c r="G192" s="18">
        <v>2</v>
      </c>
      <c r="H192" s="9" t="s">
        <v>992</v>
      </c>
      <c r="I192" s="9" t="s">
        <v>993</v>
      </c>
      <c r="J192" s="9" t="s">
        <v>994</v>
      </c>
      <c r="K192" s="25" t="s">
        <v>13</v>
      </c>
      <c r="L192" s="9" t="s">
        <v>851</v>
      </c>
      <c r="M192" s="9"/>
    </row>
    <row r="193" spans="1:13" ht="37.5" hidden="1">
      <c r="A193" s="18" t="s">
        <v>171</v>
      </c>
      <c r="B193" s="19" t="str">
        <f>INDEX(메뉴구조!$B$5:$B$300,MATCH($A193,메뉴구조!$A$5:$A$300,0))&amp;""</f>
        <v>거래</v>
      </c>
      <c r="C193" s="19" t="str">
        <f>INDEX(메뉴구조!$C$5:$C$300,MATCH($A193,메뉴구조!$A$5:$A$300,0))&amp;""</f>
        <v>종목</v>
      </c>
      <c r="D193" s="19" t="str">
        <f>INDEX(메뉴구조!$D$5:$D$300,MATCH($A193,메뉴구조!$A$5:$A$300,0))&amp;""</f>
        <v>종목상세</v>
      </c>
      <c r="E193" s="19" t="str">
        <f>INDEX(메뉴구조!$E$5:$E$300,MATCH($A193,메뉴구조!$A$5:$A$300,0))&amp;""</f>
        <v>주문 (간편)&gt; 판매&gt; 판매 희망가</v>
      </c>
      <c r="F193" s="9" t="str">
        <f>INDEX(메뉴구조!$G$5:$G$300,MATCH($A193,메뉴구조!$A$5:$A$300,0))&amp;""</f>
        <v>거래 / 종목 / 종목상세 / 주문 (간편)&gt; 판매&gt; 판매 희망가</v>
      </c>
      <c r="G193" s="18">
        <v>3</v>
      </c>
      <c r="H193" s="9" t="s">
        <v>995</v>
      </c>
      <c r="I193" s="9" t="s">
        <v>996</v>
      </c>
      <c r="J193" s="9"/>
      <c r="K193" s="25" t="s">
        <v>13</v>
      </c>
      <c r="L193" s="9" t="s">
        <v>851</v>
      </c>
      <c r="M193" s="9"/>
    </row>
    <row r="194" spans="1:13" ht="25" hidden="1">
      <c r="A194" s="18" t="s">
        <v>171</v>
      </c>
      <c r="B194" s="19" t="str">
        <f>INDEX(메뉴구조!$B$5:$B$300,MATCH($A194,메뉴구조!$A$5:$A$300,0))&amp;""</f>
        <v>거래</v>
      </c>
      <c r="C194" s="19" t="str">
        <f>INDEX(메뉴구조!$C$5:$C$300,MATCH($A194,메뉴구조!$A$5:$A$300,0))&amp;""</f>
        <v>종목</v>
      </c>
      <c r="D194" s="19" t="str">
        <f>INDEX(메뉴구조!$D$5:$D$300,MATCH($A194,메뉴구조!$A$5:$A$300,0))&amp;""</f>
        <v>종목상세</v>
      </c>
      <c r="E194" s="19" t="str">
        <f>INDEX(메뉴구조!$E$5:$E$300,MATCH($A194,메뉴구조!$A$5:$A$300,0))&amp;""</f>
        <v>주문 (간편)&gt; 판매&gt; 판매 희망가</v>
      </c>
      <c r="F194" s="9" t="str">
        <f>INDEX(메뉴구조!$G$5:$G$300,MATCH($A194,메뉴구조!$A$5:$A$300,0))&amp;""</f>
        <v>거래 / 종목 / 종목상세 / 주문 (간편)&gt; 판매&gt; 판매 희망가</v>
      </c>
      <c r="G194" s="18">
        <v>4</v>
      </c>
      <c r="H194" s="31" t="s">
        <v>997</v>
      </c>
      <c r="I194" s="31" t="s">
        <v>998</v>
      </c>
      <c r="J194" s="9"/>
      <c r="K194" s="20" t="s">
        <v>9</v>
      </c>
      <c r="L194" s="9" t="s">
        <v>938</v>
      </c>
      <c r="M194" s="9" t="s">
        <v>999</v>
      </c>
    </row>
    <row r="195" spans="1:13" ht="25" hidden="1">
      <c r="A195" s="18" t="s">
        <v>174</v>
      </c>
      <c r="B195" s="19" t="str">
        <f>INDEX(메뉴구조!$B$5:$B$300,MATCH($A195,메뉴구조!$A$5:$A$300,0))&amp;""</f>
        <v>거래</v>
      </c>
      <c r="C195" s="19" t="str">
        <f>INDEX(메뉴구조!$C$5:$C$300,MATCH($A195,메뉴구조!$A$5:$A$300,0))&amp;""</f>
        <v>종목</v>
      </c>
      <c r="D195" s="19" t="str">
        <f>INDEX(메뉴구조!$D$5:$D$300,MATCH($A195,메뉴구조!$A$5:$A$300,0))&amp;""</f>
        <v>종목상세</v>
      </c>
      <c r="E195" s="19" t="str">
        <f>INDEX(메뉴구조!$E$5:$E$300,MATCH($A195,메뉴구조!$A$5:$A$300,0))&amp;""</f>
        <v>주문 (간편)&gt; 판매&gt; 판매 희망가&gt; 판매주문</v>
      </c>
      <c r="F195" s="9" t="str">
        <f>INDEX(메뉴구조!$G$5:$G$300,MATCH($A195,메뉴구조!$A$5:$A$300,0))&amp;""</f>
        <v>거래 / 종목 / 종목상세 / 주문 (간편)&gt; 판매&gt; 판매 희망가&gt; 판매주문</v>
      </c>
      <c r="G195" s="18">
        <v>1</v>
      </c>
      <c r="H195" s="31" t="s">
        <v>949</v>
      </c>
      <c r="I195" s="31" t="s">
        <v>1000</v>
      </c>
      <c r="J195" s="9"/>
      <c r="K195" s="20" t="s">
        <v>9</v>
      </c>
      <c r="L195" s="9" t="s">
        <v>938</v>
      </c>
      <c r="M195" s="9" t="s">
        <v>1000</v>
      </c>
    </row>
    <row r="196" spans="1:13" ht="50" hidden="1">
      <c r="A196" s="18" t="s">
        <v>174</v>
      </c>
      <c r="B196" s="19" t="str">
        <f>INDEX(메뉴구조!$B$5:$B$300,MATCH($A196,메뉴구조!$A$5:$A$300,0))&amp;""</f>
        <v>거래</v>
      </c>
      <c r="C196" s="19" t="str">
        <f>INDEX(메뉴구조!$C$5:$C$300,MATCH($A196,메뉴구조!$A$5:$A$300,0))&amp;""</f>
        <v>종목</v>
      </c>
      <c r="D196" s="19" t="str">
        <f>INDEX(메뉴구조!$D$5:$D$300,MATCH($A196,메뉴구조!$A$5:$A$300,0))&amp;""</f>
        <v>종목상세</v>
      </c>
      <c r="E196" s="19" t="str">
        <f>INDEX(메뉴구조!$E$5:$E$300,MATCH($A196,메뉴구조!$A$5:$A$300,0))&amp;""</f>
        <v>주문 (간편)&gt; 판매&gt; 판매 희망가&gt; 판매주문</v>
      </c>
      <c r="F196" s="9" t="str">
        <f>INDEX(메뉴구조!$G$5:$G$300,MATCH($A196,메뉴구조!$A$5:$A$300,0))&amp;""</f>
        <v>거래 / 종목 / 종목상세 / 주문 (간편)&gt; 판매&gt; 판매 희망가&gt; 판매주문</v>
      </c>
      <c r="G196" s="18">
        <v>2</v>
      </c>
      <c r="H196" s="9" t="s">
        <v>1001</v>
      </c>
      <c r="I196" s="9" t="s">
        <v>1002</v>
      </c>
      <c r="J196" s="9"/>
      <c r="K196" s="18" t="s">
        <v>17</v>
      </c>
      <c r="L196" s="9"/>
      <c r="M196" s="9"/>
    </row>
    <row r="197" spans="1:13" ht="25" hidden="1">
      <c r="A197" s="18" t="s">
        <v>174</v>
      </c>
      <c r="B197" s="19" t="str">
        <f>INDEX(메뉴구조!$B$5:$B$300,MATCH($A197,메뉴구조!$A$5:$A$300,0))&amp;""</f>
        <v>거래</v>
      </c>
      <c r="C197" s="19" t="str">
        <f>INDEX(메뉴구조!$C$5:$C$300,MATCH($A197,메뉴구조!$A$5:$A$300,0))&amp;""</f>
        <v>종목</v>
      </c>
      <c r="D197" s="19" t="str">
        <f>INDEX(메뉴구조!$D$5:$D$300,MATCH($A197,메뉴구조!$A$5:$A$300,0))&amp;""</f>
        <v>종목상세</v>
      </c>
      <c r="E197" s="19" t="str">
        <f>INDEX(메뉴구조!$E$5:$E$300,MATCH($A197,메뉴구조!$A$5:$A$300,0))&amp;""</f>
        <v>주문 (간편)&gt; 판매&gt; 판매 희망가&gt; 판매주문</v>
      </c>
      <c r="F197" s="9" t="str">
        <f>INDEX(메뉴구조!$G$5:$G$300,MATCH($A197,메뉴구조!$A$5:$A$300,0))&amp;""</f>
        <v>거래 / 종목 / 종목상세 / 주문 (간편)&gt; 판매&gt; 판매 희망가&gt; 판매주문</v>
      </c>
      <c r="G197" s="18">
        <v>3</v>
      </c>
      <c r="H197" s="9" t="s">
        <v>953</v>
      </c>
      <c r="I197" s="9" t="s">
        <v>1003</v>
      </c>
      <c r="J197" s="9"/>
      <c r="K197" s="18" t="s">
        <v>17</v>
      </c>
      <c r="L197" s="9"/>
      <c r="M197" s="9"/>
    </row>
    <row r="198" spans="1:13" ht="37.5" hidden="1">
      <c r="A198" s="18" t="s">
        <v>177</v>
      </c>
      <c r="B198" s="19" t="str">
        <f>INDEX(메뉴구조!$B$5:$B$300,MATCH($A198,메뉴구조!$A$5:$A$300,0))&amp;""</f>
        <v>거래</v>
      </c>
      <c r="C198" s="19" t="str">
        <f>INDEX(메뉴구조!$C$5:$C$300,MATCH($A198,메뉴구조!$A$5:$A$300,0))&amp;""</f>
        <v>종목</v>
      </c>
      <c r="D198" s="19" t="str">
        <f>INDEX(메뉴구조!$D$5:$D$300,MATCH($A198,메뉴구조!$A$5:$A$300,0))&amp;""</f>
        <v>종목상세</v>
      </c>
      <c r="E198" s="19" t="str">
        <f>INDEX(메뉴구조!$E$5:$E$300,MATCH($A198,메뉴구조!$A$5:$A$300,0))&amp;""</f>
        <v>주문 (간편)&gt; 판매&gt; 판매 희망가&gt; 판매완료</v>
      </c>
      <c r="F198" s="9" t="str">
        <f>INDEX(메뉴구조!$G$5:$G$300,MATCH($A198,메뉴구조!$A$5:$A$300,0))&amp;""</f>
        <v>거래 / 종목 / 종목상세 / 주문 (간편)&gt; 판매&gt; 판매 희망가&gt; 판매완료</v>
      </c>
      <c r="G198" s="18">
        <v>1</v>
      </c>
      <c r="H198" s="31" t="s">
        <v>956</v>
      </c>
      <c r="I198" s="31" t="s">
        <v>1004</v>
      </c>
      <c r="J198" s="9" t="s">
        <v>1005</v>
      </c>
      <c r="K198" s="20" t="s">
        <v>9</v>
      </c>
      <c r="L198" s="9" t="s">
        <v>959</v>
      </c>
      <c r="M198" s="9" t="s">
        <v>1006</v>
      </c>
    </row>
    <row r="199" spans="1:13" ht="37.5" hidden="1">
      <c r="A199" s="18" t="s">
        <v>177</v>
      </c>
      <c r="B199" s="19" t="str">
        <f>INDEX(메뉴구조!$B$5:$B$300,MATCH($A199,메뉴구조!$A$5:$A$300,0))&amp;""</f>
        <v>거래</v>
      </c>
      <c r="C199" s="19" t="str">
        <f>INDEX(메뉴구조!$C$5:$C$300,MATCH($A199,메뉴구조!$A$5:$A$300,0))&amp;""</f>
        <v>종목</v>
      </c>
      <c r="D199" s="19" t="str">
        <f>INDEX(메뉴구조!$D$5:$D$300,MATCH($A199,메뉴구조!$A$5:$A$300,0))&amp;""</f>
        <v>종목상세</v>
      </c>
      <c r="E199" s="19" t="str">
        <f>INDEX(메뉴구조!$E$5:$E$300,MATCH($A199,메뉴구조!$A$5:$A$300,0))&amp;""</f>
        <v>주문 (간편)&gt; 판매&gt; 판매 희망가&gt; 판매완료</v>
      </c>
      <c r="F199" s="9" t="str">
        <f>INDEX(메뉴구조!$G$5:$G$300,MATCH($A199,메뉴구조!$A$5:$A$300,0))&amp;""</f>
        <v>거래 / 종목 / 종목상세 / 주문 (간편)&gt; 판매&gt; 판매 희망가&gt; 판매완료</v>
      </c>
      <c r="G199" s="18">
        <v>2</v>
      </c>
      <c r="H199" s="9" t="s">
        <v>357</v>
      </c>
      <c r="I199" s="9" t="s">
        <v>1007</v>
      </c>
      <c r="J199" s="9"/>
      <c r="K199" s="18" t="s">
        <v>17</v>
      </c>
      <c r="L199" s="9"/>
      <c r="M199" s="9"/>
    </row>
    <row r="200" spans="1:13" ht="25" hidden="1">
      <c r="A200" s="18" t="s">
        <v>177</v>
      </c>
      <c r="B200" s="19" t="str">
        <f>INDEX(메뉴구조!$B$5:$B$300,MATCH($A200,메뉴구조!$A$5:$A$300,0))&amp;""</f>
        <v>거래</v>
      </c>
      <c r="C200" s="19" t="str">
        <f>INDEX(메뉴구조!$C$5:$C$300,MATCH($A200,메뉴구조!$A$5:$A$300,0))&amp;""</f>
        <v>종목</v>
      </c>
      <c r="D200" s="19" t="str">
        <f>INDEX(메뉴구조!$D$5:$D$300,MATCH($A200,메뉴구조!$A$5:$A$300,0))&amp;""</f>
        <v>종목상세</v>
      </c>
      <c r="E200" s="19" t="str">
        <f>INDEX(메뉴구조!$E$5:$E$300,MATCH($A200,메뉴구조!$A$5:$A$300,0))&amp;""</f>
        <v>주문 (간편)&gt; 판매&gt; 판매 희망가&gt; 판매완료</v>
      </c>
      <c r="F200" s="9" t="str">
        <f>INDEX(메뉴구조!$G$5:$G$300,MATCH($A200,메뉴구조!$A$5:$A$300,0))&amp;""</f>
        <v>거래 / 종목 / 종목상세 / 주문 (간편)&gt; 판매&gt; 판매 희망가&gt; 판매완료</v>
      </c>
      <c r="G200" s="18">
        <v>3</v>
      </c>
      <c r="H200" s="9" t="s">
        <v>953</v>
      </c>
      <c r="I200" s="9" t="s">
        <v>989</v>
      </c>
      <c r="J200" s="9"/>
      <c r="K200" s="18" t="s">
        <v>17</v>
      </c>
      <c r="L200" s="9"/>
      <c r="M200" s="9"/>
    </row>
    <row r="201" spans="1:13" ht="25" hidden="1">
      <c r="A201" s="18" t="s">
        <v>180</v>
      </c>
      <c r="B201" s="19" t="str">
        <f>INDEX(메뉴구조!$B$5:$B$300,MATCH($A201,메뉴구조!$A$5:$A$300,0))&amp;""</f>
        <v>거래</v>
      </c>
      <c r="C201" s="19" t="str">
        <f>INDEX(메뉴구조!$C$5:$C$300,MATCH($A201,메뉴구조!$A$5:$A$300,0))&amp;""</f>
        <v>종목</v>
      </c>
      <c r="D201" s="19" t="str">
        <f>INDEX(메뉴구조!$D$5:$D$300,MATCH($A201,메뉴구조!$A$5:$A$300,0))&amp;""</f>
        <v>종목상세</v>
      </c>
      <c r="E201" s="19" t="str">
        <f>INDEX(메뉴구조!$E$5:$E$300,MATCH($A201,메뉴구조!$A$5:$A$300,0))&amp;""</f>
        <v>주문 (간편)&gt; 판매&gt; AI매칭</v>
      </c>
      <c r="F201" s="9" t="str">
        <f>INDEX(메뉴구조!$G$5:$G$300,MATCH($A201,메뉴구조!$A$5:$A$300,0))&amp;""</f>
        <v>거래 / 종목 / 종목상세 / 주문 (간편)&gt; 판매&gt; AI매칭</v>
      </c>
      <c r="G201" s="18">
        <v>1</v>
      </c>
      <c r="H201" s="9" t="s">
        <v>1008</v>
      </c>
      <c r="I201" s="9" t="s">
        <v>1009</v>
      </c>
      <c r="J201" s="9" t="s">
        <v>1010</v>
      </c>
      <c r="K201" s="18" t="s">
        <v>17</v>
      </c>
      <c r="L201" s="9"/>
      <c r="M201" s="9"/>
    </row>
    <row r="202" spans="1:13" ht="112.5" hidden="1">
      <c r="A202" s="18" t="s">
        <v>180</v>
      </c>
      <c r="B202" s="19" t="str">
        <f>INDEX(메뉴구조!$B$5:$B$300,MATCH($A202,메뉴구조!$A$5:$A$300,0))&amp;""</f>
        <v>거래</v>
      </c>
      <c r="C202" s="19" t="str">
        <f>INDEX(메뉴구조!$C$5:$C$300,MATCH($A202,메뉴구조!$A$5:$A$300,0))&amp;""</f>
        <v>종목</v>
      </c>
      <c r="D202" s="19" t="str">
        <f>INDEX(메뉴구조!$D$5:$D$300,MATCH($A202,메뉴구조!$A$5:$A$300,0))&amp;""</f>
        <v>종목상세</v>
      </c>
      <c r="E202" s="19" t="str">
        <f>INDEX(메뉴구조!$E$5:$E$300,MATCH($A202,메뉴구조!$A$5:$A$300,0))&amp;""</f>
        <v>주문 (간편)&gt; 판매&gt; AI매칭</v>
      </c>
      <c r="F202" s="9" t="str">
        <f>INDEX(메뉴구조!$G$5:$G$300,MATCH($A202,메뉴구조!$A$5:$A$300,0))&amp;""</f>
        <v>거래 / 종목 / 종목상세 / 주문 (간편)&gt; 판매&gt; AI매칭</v>
      </c>
      <c r="G202" s="18">
        <v>2</v>
      </c>
      <c r="H202" s="31" t="s">
        <v>966</v>
      </c>
      <c r="I202" s="31" t="s">
        <v>1011</v>
      </c>
      <c r="J202" s="9" t="s">
        <v>968</v>
      </c>
      <c r="K202" s="20" t="s">
        <v>9</v>
      </c>
      <c r="L202" s="9" t="s">
        <v>969</v>
      </c>
      <c r="M202" s="9" t="s">
        <v>1012</v>
      </c>
    </row>
    <row r="203" spans="1:13" ht="25" hidden="1">
      <c r="A203" s="18" t="s">
        <v>180</v>
      </c>
      <c r="B203" s="19" t="str">
        <f>INDEX(메뉴구조!$B$5:$B$300,MATCH($A203,메뉴구조!$A$5:$A$300,0))&amp;""</f>
        <v>거래</v>
      </c>
      <c r="C203" s="19" t="str">
        <f>INDEX(메뉴구조!$C$5:$C$300,MATCH($A203,메뉴구조!$A$5:$A$300,0))&amp;""</f>
        <v>종목</v>
      </c>
      <c r="D203" s="19" t="str">
        <f>INDEX(메뉴구조!$D$5:$D$300,MATCH($A203,메뉴구조!$A$5:$A$300,0))&amp;""</f>
        <v>종목상세</v>
      </c>
      <c r="E203" s="19" t="str">
        <f>INDEX(메뉴구조!$E$5:$E$300,MATCH($A203,메뉴구조!$A$5:$A$300,0))&amp;""</f>
        <v>주문 (간편)&gt; 판매&gt; AI매칭</v>
      </c>
      <c r="F203" s="9" t="str">
        <f>INDEX(메뉴구조!$G$5:$G$300,MATCH($A203,메뉴구조!$A$5:$A$300,0))&amp;""</f>
        <v>거래 / 종목 / 종목상세 / 주문 (간편)&gt; 판매&gt; AI매칭</v>
      </c>
      <c r="G203" s="18">
        <v>3</v>
      </c>
      <c r="H203" s="9" t="s">
        <v>1013</v>
      </c>
      <c r="I203" s="9" t="s">
        <v>1014</v>
      </c>
      <c r="J203" s="9"/>
      <c r="K203" s="18" t="s">
        <v>17</v>
      </c>
      <c r="L203" s="9"/>
      <c r="M203" s="9"/>
    </row>
    <row r="204" spans="1:13" ht="25" hidden="1">
      <c r="A204" s="18" t="s">
        <v>180</v>
      </c>
      <c r="B204" s="19" t="str">
        <f>INDEX(메뉴구조!$B$5:$B$300,MATCH($A204,메뉴구조!$A$5:$A$300,0))&amp;""</f>
        <v>거래</v>
      </c>
      <c r="C204" s="19" t="str">
        <f>INDEX(메뉴구조!$C$5:$C$300,MATCH($A204,메뉴구조!$A$5:$A$300,0))&amp;""</f>
        <v>종목</v>
      </c>
      <c r="D204" s="19" t="str">
        <f>INDEX(메뉴구조!$D$5:$D$300,MATCH($A204,메뉴구조!$A$5:$A$300,0))&amp;""</f>
        <v>종목상세</v>
      </c>
      <c r="E204" s="19" t="str">
        <f>INDEX(메뉴구조!$E$5:$E$300,MATCH($A204,메뉴구조!$A$5:$A$300,0))&amp;""</f>
        <v>주문 (간편)&gt; 판매&gt; AI매칭</v>
      </c>
      <c r="F204" s="9" t="str">
        <f>INDEX(메뉴구조!$G$5:$G$300,MATCH($A204,메뉴구조!$A$5:$A$300,0))&amp;""</f>
        <v>거래 / 종목 / 종목상세 / 주문 (간편)&gt; 판매&gt; AI매칭</v>
      </c>
      <c r="G204" s="18">
        <v>4</v>
      </c>
      <c r="H204" s="31" t="s">
        <v>1015</v>
      </c>
      <c r="I204" s="31" t="s">
        <v>974</v>
      </c>
      <c r="J204" s="9"/>
      <c r="K204" s="20" t="s">
        <v>9</v>
      </c>
      <c r="L204" s="9" t="s">
        <v>938</v>
      </c>
      <c r="M204" s="9" t="s">
        <v>975</v>
      </c>
    </row>
    <row r="205" spans="1:13" ht="25" hidden="1">
      <c r="A205" s="18" t="s">
        <v>183</v>
      </c>
      <c r="B205" s="19" t="str">
        <f>INDEX(메뉴구조!$B$5:$B$300,MATCH($A205,메뉴구조!$A$5:$A$300,0))&amp;""</f>
        <v>거래</v>
      </c>
      <c r="C205" s="19" t="str">
        <f>INDEX(메뉴구조!$C$5:$C$300,MATCH($A205,메뉴구조!$A$5:$A$300,0))&amp;""</f>
        <v>종목</v>
      </c>
      <c r="D205" s="19" t="str">
        <f>INDEX(메뉴구조!$D$5:$D$300,MATCH($A205,메뉴구조!$A$5:$A$300,0))&amp;""</f>
        <v>종목상세</v>
      </c>
      <c r="E205" s="19" t="str">
        <f>INDEX(메뉴구조!$E$5:$E$300,MATCH($A205,메뉴구조!$A$5:$A$300,0))&amp;""</f>
        <v>주문 (간편)&gt; 판매&gt; AI매칭&gt; 판매주문</v>
      </c>
      <c r="F205" s="9" t="str">
        <f>INDEX(메뉴구조!$G$5:$G$300,MATCH($A205,메뉴구조!$A$5:$A$300,0))&amp;""</f>
        <v>거래 / 종목 / 종목상세 / 주문 (간편)&gt; 판매&gt; AI매칭&gt; 판매주문</v>
      </c>
      <c r="G205" s="18">
        <v>1</v>
      </c>
      <c r="H205" s="31" t="s">
        <v>949</v>
      </c>
      <c r="I205" s="31" t="s">
        <v>1000</v>
      </c>
      <c r="J205" s="9"/>
      <c r="K205" s="20" t="s">
        <v>9</v>
      </c>
      <c r="L205" s="9" t="s">
        <v>938</v>
      </c>
      <c r="M205" s="9" t="s">
        <v>1000</v>
      </c>
    </row>
    <row r="206" spans="1:13" ht="37.5" hidden="1">
      <c r="A206" s="18" t="s">
        <v>183</v>
      </c>
      <c r="B206" s="19" t="str">
        <f>INDEX(메뉴구조!$B$5:$B$300,MATCH($A206,메뉴구조!$A$5:$A$300,0))&amp;""</f>
        <v>거래</v>
      </c>
      <c r="C206" s="19" t="str">
        <f>INDEX(메뉴구조!$C$5:$C$300,MATCH($A206,메뉴구조!$A$5:$A$300,0))&amp;""</f>
        <v>종목</v>
      </c>
      <c r="D206" s="19" t="str">
        <f>INDEX(메뉴구조!$D$5:$D$300,MATCH($A206,메뉴구조!$A$5:$A$300,0))&amp;""</f>
        <v>종목상세</v>
      </c>
      <c r="E206" s="19" t="str">
        <f>INDEX(메뉴구조!$E$5:$E$300,MATCH($A206,메뉴구조!$A$5:$A$300,0))&amp;""</f>
        <v>주문 (간편)&gt; 판매&gt; AI매칭&gt; 판매주문</v>
      </c>
      <c r="F206" s="9" t="str">
        <f>INDEX(메뉴구조!$G$5:$G$300,MATCH($A206,메뉴구조!$A$5:$A$300,0))&amp;""</f>
        <v>거래 / 종목 / 종목상세 / 주문 (간편)&gt; 판매&gt; AI매칭&gt; 판매주문</v>
      </c>
      <c r="G206" s="18">
        <v>2</v>
      </c>
      <c r="H206" s="9" t="s">
        <v>1001</v>
      </c>
      <c r="I206" s="9" t="s">
        <v>1016</v>
      </c>
      <c r="J206" s="9"/>
      <c r="K206" s="18" t="s">
        <v>17</v>
      </c>
      <c r="L206" s="9"/>
      <c r="M206" s="9"/>
    </row>
    <row r="207" spans="1:13" ht="25" hidden="1">
      <c r="A207" s="18" t="s">
        <v>183</v>
      </c>
      <c r="B207" s="19" t="str">
        <f>INDEX(메뉴구조!$B$5:$B$300,MATCH($A207,메뉴구조!$A$5:$A$300,0))&amp;""</f>
        <v>거래</v>
      </c>
      <c r="C207" s="19" t="str">
        <f>INDEX(메뉴구조!$C$5:$C$300,MATCH($A207,메뉴구조!$A$5:$A$300,0))&amp;""</f>
        <v>종목</v>
      </c>
      <c r="D207" s="19" t="str">
        <f>INDEX(메뉴구조!$D$5:$D$300,MATCH($A207,메뉴구조!$A$5:$A$300,0))&amp;""</f>
        <v>종목상세</v>
      </c>
      <c r="E207" s="19" t="str">
        <f>INDEX(메뉴구조!$E$5:$E$300,MATCH($A207,메뉴구조!$A$5:$A$300,0))&amp;""</f>
        <v>주문 (간편)&gt; 판매&gt; AI매칭&gt; 판매주문</v>
      </c>
      <c r="F207" s="9" t="str">
        <f>INDEX(메뉴구조!$G$5:$G$300,MATCH($A207,메뉴구조!$A$5:$A$300,0))&amp;""</f>
        <v>거래 / 종목 / 종목상세 / 주문 (간편)&gt; 판매&gt; AI매칭&gt; 판매주문</v>
      </c>
      <c r="G207" s="18">
        <v>3</v>
      </c>
      <c r="H207" s="9" t="s">
        <v>978</v>
      </c>
      <c r="I207" s="9" t="s">
        <v>1017</v>
      </c>
      <c r="J207" s="9"/>
      <c r="K207" s="18" t="s">
        <v>17</v>
      </c>
      <c r="L207" s="9"/>
      <c r="M207" s="9"/>
    </row>
    <row r="208" spans="1:13" ht="37.5" hidden="1">
      <c r="A208" s="18" t="s">
        <v>183</v>
      </c>
      <c r="B208" s="19" t="str">
        <f>INDEX(메뉴구조!$B$5:$B$300,MATCH($A208,메뉴구조!$A$5:$A$300,0))&amp;""</f>
        <v>거래</v>
      </c>
      <c r="C208" s="19" t="str">
        <f>INDEX(메뉴구조!$C$5:$C$300,MATCH($A208,메뉴구조!$A$5:$A$300,0))&amp;""</f>
        <v>종목</v>
      </c>
      <c r="D208" s="19" t="str">
        <f>INDEX(메뉴구조!$D$5:$D$300,MATCH($A208,메뉴구조!$A$5:$A$300,0))&amp;""</f>
        <v>종목상세</v>
      </c>
      <c r="E208" s="19" t="str">
        <f>INDEX(메뉴구조!$E$5:$E$300,MATCH($A208,메뉴구조!$A$5:$A$300,0))&amp;""</f>
        <v>주문 (간편)&gt; 판매&gt; AI매칭&gt; 판매주문</v>
      </c>
      <c r="F208" s="9" t="str">
        <f>INDEX(메뉴구조!$G$5:$G$300,MATCH($A208,메뉴구조!$A$5:$A$300,0))&amp;""</f>
        <v>거래 / 종목 / 종목상세 / 주문 (간편)&gt; 판매&gt; AI매칭&gt; 판매주문</v>
      </c>
      <c r="G208" s="18">
        <v>4</v>
      </c>
      <c r="H208" s="9" t="s">
        <v>981</v>
      </c>
      <c r="I208" s="9" t="s">
        <v>1018</v>
      </c>
      <c r="J208" s="9" t="s">
        <v>1019</v>
      </c>
      <c r="K208" s="18" t="s">
        <v>17</v>
      </c>
      <c r="L208" s="9"/>
      <c r="M208" s="9"/>
    </row>
    <row r="209" spans="1:13" ht="25" hidden="1">
      <c r="A209" s="18" t="s">
        <v>183</v>
      </c>
      <c r="B209" s="19" t="str">
        <f>INDEX(메뉴구조!$B$5:$B$300,MATCH($A209,메뉴구조!$A$5:$A$300,0))&amp;""</f>
        <v>거래</v>
      </c>
      <c r="C209" s="19" t="str">
        <f>INDEX(메뉴구조!$C$5:$C$300,MATCH($A209,메뉴구조!$A$5:$A$300,0))&amp;""</f>
        <v>종목</v>
      </c>
      <c r="D209" s="19" t="str">
        <f>INDEX(메뉴구조!$D$5:$D$300,MATCH($A209,메뉴구조!$A$5:$A$300,0))&amp;""</f>
        <v>종목상세</v>
      </c>
      <c r="E209" s="19" t="str">
        <f>INDEX(메뉴구조!$E$5:$E$300,MATCH($A209,메뉴구조!$A$5:$A$300,0))&amp;""</f>
        <v>주문 (간편)&gt; 판매&gt; AI매칭&gt; 판매주문</v>
      </c>
      <c r="F209" s="9" t="str">
        <f>INDEX(메뉴구조!$G$5:$G$300,MATCH($A209,메뉴구조!$A$5:$A$300,0))&amp;""</f>
        <v>거래 / 종목 / 종목상세 / 주문 (간편)&gt; 판매&gt; AI매칭&gt; 판매주문</v>
      </c>
      <c r="G209" s="18">
        <v>5</v>
      </c>
      <c r="H209" s="9" t="s">
        <v>953</v>
      </c>
      <c r="I209" s="9" t="s">
        <v>1020</v>
      </c>
      <c r="J209" s="9"/>
      <c r="K209" s="18" t="s">
        <v>17</v>
      </c>
      <c r="L209" s="9"/>
      <c r="M209" s="9"/>
    </row>
    <row r="210" spans="1:13" ht="37.5" hidden="1">
      <c r="A210" s="18" t="s">
        <v>186</v>
      </c>
      <c r="B210" s="19" t="str">
        <f>INDEX(메뉴구조!$B$5:$B$300,MATCH($A210,메뉴구조!$A$5:$A$300,0))&amp;""</f>
        <v>거래</v>
      </c>
      <c r="C210" s="19" t="str">
        <f>INDEX(메뉴구조!$C$5:$C$300,MATCH($A210,메뉴구조!$A$5:$A$300,0))&amp;""</f>
        <v>종목</v>
      </c>
      <c r="D210" s="19" t="str">
        <f>INDEX(메뉴구조!$D$5:$D$300,MATCH($A210,메뉴구조!$A$5:$A$300,0))&amp;""</f>
        <v>종목상세</v>
      </c>
      <c r="E210" s="19" t="str">
        <f>INDEX(메뉴구조!$E$5:$E$300,MATCH($A210,메뉴구조!$A$5:$A$300,0))&amp;""</f>
        <v>주문 (간편)&gt; 판매&gt; AI매칭&gt; 판매완료</v>
      </c>
      <c r="F210" s="9" t="str">
        <f>INDEX(메뉴구조!$G$5:$G$300,MATCH($A210,메뉴구조!$A$5:$A$300,0))&amp;""</f>
        <v>거래 / 종목 / 종목상세 / 주문 (간편)&gt; 판매&gt; AI매칭&gt; 판매완료</v>
      </c>
      <c r="G210" s="18">
        <v>1</v>
      </c>
      <c r="H210" s="31" t="s">
        <v>956</v>
      </c>
      <c r="I210" s="31" t="s">
        <v>1004</v>
      </c>
      <c r="J210" s="9"/>
      <c r="K210" s="20" t="s">
        <v>9</v>
      </c>
      <c r="L210" s="9" t="s">
        <v>959</v>
      </c>
      <c r="M210" s="9" t="s">
        <v>1006</v>
      </c>
    </row>
    <row r="211" spans="1:13" ht="37.5" hidden="1">
      <c r="A211" s="18" t="s">
        <v>186</v>
      </c>
      <c r="B211" s="19" t="str">
        <f>INDEX(메뉴구조!$B$5:$B$300,MATCH($A211,메뉴구조!$A$5:$A$300,0))&amp;""</f>
        <v>거래</v>
      </c>
      <c r="C211" s="19" t="str">
        <f>INDEX(메뉴구조!$C$5:$C$300,MATCH($A211,메뉴구조!$A$5:$A$300,0))&amp;""</f>
        <v>종목</v>
      </c>
      <c r="D211" s="19" t="str">
        <f>INDEX(메뉴구조!$D$5:$D$300,MATCH($A211,메뉴구조!$A$5:$A$300,0))&amp;""</f>
        <v>종목상세</v>
      </c>
      <c r="E211" s="19" t="str">
        <f>INDEX(메뉴구조!$E$5:$E$300,MATCH($A211,메뉴구조!$A$5:$A$300,0))&amp;""</f>
        <v>주문 (간편)&gt; 판매&gt; AI매칭&gt; 판매완료</v>
      </c>
      <c r="F211" s="9" t="str">
        <f>INDEX(메뉴구조!$G$5:$G$300,MATCH($A211,메뉴구조!$A$5:$A$300,0))&amp;""</f>
        <v>거래 / 종목 / 종목상세 / 주문 (간편)&gt; 판매&gt; AI매칭&gt; 판매완료</v>
      </c>
      <c r="G211" s="18">
        <v>2</v>
      </c>
      <c r="H211" s="9" t="s">
        <v>357</v>
      </c>
      <c r="I211" s="9" t="s">
        <v>1007</v>
      </c>
      <c r="J211" s="9"/>
      <c r="K211" s="18" t="s">
        <v>17</v>
      </c>
      <c r="L211" s="9"/>
      <c r="M211" s="9"/>
    </row>
    <row r="212" spans="1:13" ht="25" hidden="1">
      <c r="A212" s="18" t="s">
        <v>186</v>
      </c>
      <c r="B212" s="19" t="str">
        <f>INDEX(메뉴구조!$B$5:$B$300,MATCH($A212,메뉴구조!$A$5:$A$300,0))&amp;""</f>
        <v>거래</v>
      </c>
      <c r="C212" s="19" t="str">
        <f>INDEX(메뉴구조!$C$5:$C$300,MATCH($A212,메뉴구조!$A$5:$A$300,0))&amp;""</f>
        <v>종목</v>
      </c>
      <c r="D212" s="19" t="str">
        <f>INDEX(메뉴구조!$D$5:$D$300,MATCH($A212,메뉴구조!$A$5:$A$300,0))&amp;""</f>
        <v>종목상세</v>
      </c>
      <c r="E212" s="19" t="str">
        <f>INDEX(메뉴구조!$E$5:$E$300,MATCH($A212,메뉴구조!$A$5:$A$300,0))&amp;""</f>
        <v>주문 (간편)&gt; 판매&gt; AI매칭&gt; 판매완료</v>
      </c>
      <c r="F212" s="9" t="str">
        <f>INDEX(메뉴구조!$G$5:$G$300,MATCH($A212,메뉴구조!$A$5:$A$300,0))&amp;""</f>
        <v>거래 / 종목 / 종목상세 / 주문 (간편)&gt; 판매&gt; AI매칭&gt; 판매완료</v>
      </c>
      <c r="G212" s="18">
        <v>3</v>
      </c>
      <c r="H212" s="9" t="s">
        <v>953</v>
      </c>
      <c r="I212" s="9" t="s">
        <v>989</v>
      </c>
      <c r="J212" s="9"/>
      <c r="K212" s="18" t="s">
        <v>17</v>
      </c>
      <c r="L212" s="9"/>
      <c r="M212" s="9"/>
    </row>
    <row r="213" spans="1:13" hidden="1">
      <c r="A213" s="18" t="s">
        <v>189</v>
      </c>
      <c r="B213" s="19" t="str">
        <f>INDEX(메뉴구조!$B$5:$B$300,MATCH($A213,메뉴구조!$A$5:$A$300,0))&amp;""</f>
        <v>거래</v>
      </c>
      <c r="C213" s="19" t="str">
        <f>INDEX(메뉴구조!$C$5:$C$300,MATCH($A213,메뉴구조!$A$5:$A$300,0))&amp;""</f>
        <v>종목</v>
      </c>
      <c r="D213" s="19" t="str">
        <f>INDEX(메뉴구조!$D$5:$D$300,MATCH($A213,메뉴구조!$A$5:$A$300,0))&amp;""</f>
        <v>종목상세</v>
      </c>
      <c r="E213" s="19" t="str">
        <f>INDEX(메뉴구조!$E$5:$E$300,MATCH($A213,메뉴구조!$A$5:$A$300,0))&amp;""</f>
        <v>주문 (간편)&gt; 대기</v>
      </c>
      <c r="F213" s="9" t="str">
        <f>INDEX(메뉴구조!$G$5:$G$300,MATCH($A213,메뉴구조!$A$5:$A$300,0))&amp;""</f>
        <v>거래 / 종목 / 종목상세 / 주문 (간편)&gt; 대기</v>
      </c>
      <c r="G213" s="18">
        <v>1</v>
      </c>
      <c r="H213" s="9" t="s">
        <v>1021</v>
      </c>
      <c r="I213" s="9" t="s">
        <v>1022</v>
      </c>
      <c r="J213" s="9"/>
      <c r="K213" s="18" t="s">
        <v>17</v>
      </c>
      <c r="L213" s="9"/>
      <c r="M213" s="9"/>
    </row>
    <row r="214" spans="1:13" ht="25" hidden="1">
      <c r="A214" s="18" t="s">
        <v>189</v>
      </c>
      <c r="B214" s="19" t="str">
        <f>INDEX(메뉴구조!$B$5:$B$300,MATCH($A214,메뉴구조!$A$5:$A$300,0))&amp;""</f>
        <v>거래</v>
      </c>
      <c r="C214" s="19" t="str">
        <f>INDEX(메뉴구조!$C$5:$C$300,MATCH($A214,메뉴구조!$A$5:$A$300,0))&amp;""</f>
        <v>종목</v>
      </c>
      <c r="D214" s="19" t="str">
        <f>INDEX(메뉴구조!$D$5:$D$300,MATCH($A214,메뉴구조!$A$5:$A$300,0))&amp;""</f>
        <v>종목상세</v>
      </c>
      <c r="E214" s="19" t="str">
        <f>INDEX(메뉴구조!$E$5:$E$300,MATCH($A214,메뉴구조!$A$5:$A$300,0))&amp;""</f>
        <v>주문 (간편)&gt; 대기</v>
      </c>
      <c r="F214" s="9" t="str">
        <f>INDEX(메뉴구조!$G$5:$G$300,MATCH($A214,메뉴구조!$A$5:$A$300,0))&amp;""</f>
        <v>거래 / 종목 / 종목상세 / 주문 (간편)&gt; 대기</v>
      </c>
      <c r="G214" s="18">
        <v>2</v>
      </c>
      <c r="H214" s="9" t="s">
        <v>1023</v>
      </c>
      <c r="I214" s="9" t="s">
        <v>1024</v>
      </c>
      <c r="J214" s="9"/>
      <c r="K214" s="18" t="s">
        <v>17</v>
      </c>
      <c r="L214" s="9"/>
      <c r="M214" s="9"/>
    </row>
    <row r="215" spans="1:13" ht="25" hidden="1">
      <c r="A215" s="18" t="s">
        <v>189</v>
      </c>
      <c r="B215" s="19" t="str">
        <f>INDEX(메뉴구조!$B$5:$B$300,MATCH($A215,메뉴구조!$A$5:$A$300,0))&amp;""</f>
        <v>거래</v>
      </c>
      <c r="C215" s="19" t="str">
        <f>INDEX(메뉴구조!$C$5:$C$300,MATCH($A215,메뉴구조!$A$5:$A$300,0))&amp;""</f>
        <v>종목</v>
      </c>
      <c r="D215" s="19" t="str">
        <f>INDEX(메뉴구조!$D$5:$D$300,MATCH($A215,메뉴구조!$A$5:$A$300,0))&amp;""</f>
        <v>종목상세</v>
      </c>
      <c r="E215" s="19" t="str">
        <f>INDEX(메뉴구조!$E$5:$E$300,MATCH($A215,메뉴구조!$A$5:$A$300,0))&amp;""</f>
        <v>주문 (간편)&gt; 대기</v>
      </c>
      <c r="F215" s="9" t="str">
        <f>INDEX(메뉴구조!$G$5:$G$300,MATCH($A215,메뉴구조!$A$5:$A$300,0))&amp;""</f>
        <v>거래 / 종목 / 종목상세 / 주문 (간편)&gt; 대기</v>
      </c>
      <c r="G215" s="18">
        <v>3</v>
      </c>
      <c r="H215" s="9" t="s">
        <v>1025</v>
      </c>
      <c r="I215" s="9" t="s">
        <v>1026</v>
      </c>
      <c r="J215" s="9"/>
      <c r="K215" s="18" t="s">
        <v>17</v>
      </c>
      <c r="L215" s="9"/>
      <c r="M215" s="9"/>
    </row>
    <row r="216" spans="1:13" ht="75" hidden="1">
      <c r="A216" s="18" t="s">
        <v>189</v>
      </c>
      <c r="B216" s="19" t="str">
        <f>INDEX(메뉴구조!$B$5:$B$300,MATCH($A216,메뉴구조!$A$5:$A$300,0))&amp;""</f>
        <v>거래</v>
      </c>
      <c r="C216" s="19" t="str">
        <f>INDEX(메뉴구조!$C$5:$C$300,MATCH($A216,메뉴구조!$A$5:$A$300,0))&amp;""</f>
        <v>종목</v>
      </c>
      <c r="D216" s="19" t="str">
        <f>INDEX(메뉴구조!$D$5:$D$300,MATCH($A216,메뉴구조!$A$5:$A$300,0))&amp;""</f>
        <v>종목상세</v>
      </c>
      <c r="E216" s="19" t="str">
        <f>INDEX(메뉴구조!$E$5:$E$300,MATCH($A216,메뉴구조!$A$5:$A$300,0))&amp;""</f>
        <v>주문 (간편)&gt; 대기</v>
      </c>
      <c r="F216" s="9" t="str">
        <f>INDEX(메뉴구조!$G$5:$G$300,MATCH($A216,메뉴구조!$A$5:$A$300,0))&amp;""</f>
        <v>거래 / 종목 / 종목상세 / 주문 (간편)&gt; 대기</v>
      </c>
      <c r="G216" s="18">
        <v>4</v>
      </c>
      <c r="H216" s="31" t="s">
        <v>1027</v>
      </c>
      <c r="I216" s="31" t="s">
        <v>1028</v>
      </c>
      <c r="J216" s="9" t="s">
        <v>1029</v>
      </c>
      <c r="K216" s="20" t="s">
        <v>9</v>
      </c>
      <c r="L216" s="9" t="s">
        <v>1030</v>
      </c>
      <c r="M216" s="9" t="s">
        <v>1031</v>
      </c>
    </row>
    <row r="217" spans="1:13" ht="25" hidden="1">
      <c r="A217" s="18" t="s">
        <v>189</v>
      </c>
      <c r="B217" s="19" t="str">
        <f>INDEX(메뉴구조!$B$5:$B$300,MATCH($A217,메뉴구조!$A$5:$A$300,0))&amp;""</f>
        <v>거래</v>
      </c>
      <c r="C217" s="19" t="str">
        <f>INDEX(메뉴구조!$C$5:$C$300,MATCH($A217,메뉴구조!$A$5:$A$300,0))&amp;""</f>
        <v>종목</v>
      </c>
      <c r="D217" s="19" t="str">
        <f>INDEX(메뉴구조!$D$5:$D$300,MATCH($A217,메뉴구조!$A$5:$A$300,0))&amp;""</f>
        <v>종목상세</v>
      </c>
      <c r="E217" s="19" t="str">
        <f>INDEX(메뉴구조!$E$5:$E$300,MATCH($A217,메뉴구조!$A$5:$A$300,0))&amp;""</f>
        <v>주문 (간편)&gt; 대기</v>
      </c>
      <c r="F217" s="9" t="str">
        <f>INDEX(메뉴구조!$G$5:$G$300,MATCH($A217,메뉴구조!$A$5:$A$300,0))&amp;""</f>
        <v>거래 / 종목 / 종목상세 / 주문 (간편)&gt; 대기</v>
      </c>
      <c r="G217" s="18">
        <v>5</v>
      </c>
      <c r="H217" s="9" t="s">
        <v>1032</v>
      </c>
      <c r="I217" s="9" t="s">
        <v>1033</v>
      </c>
      <c r="J217" s="9" t="s">
        <v>1034</v>
      </c>
      <c r="K217" s="18" t="s">
        <v>17</v>
      </c>
      <c r="L217" s="9"/>
      <c r="M217" s="9"/>
    </row>
    <row r="218" spans="1:13" ht="25" hidden="1">
      <c r="A218" s="18" t="s">
        <v>193</v>
      </c>
      <c r="B218" s="19" t="str">
        <f>INDEX(메뉴구조!$B$5:$B$300,MATCH($A218,메뉴구조!$A$5:$A$300,0))&amp;""</f>
        <v>거래</v>
      </c>
      <c r="C218" s="19" t="str">
        <f>INDEX(메뉴구조!$C$5:$C$300,MATCH($A218,메뉴구조!$A$5:$A$300,0))&amp;""</f>
        <v>종목</v>
      </c>
      <c r="D218" s="19" t="str">
        <f>INDEX(메뉴구조!$D$5:$D$300,MATCH($A218,메뉴구조!$A$5:$A$300,0))&amp;""</f>
        <v>종목상세</v>
      </c>
      <c r="E218" s="19" t="str">
        <f>INDEX(메뉴구조!$E$5:$E$300,MATCH($A218,메뉴구조!$A$5:$A$300,0))&amp;""</f>
        <v>주문 (간편)&gt; 대기&gt; 수정&gt; 취소</v>
      </c>
      <c r="F218" s="9" t="str">
        <f>INDEX(메뉴구조!$G$5:$G$300,MATCH($A218,메뉴구조!$A$5:$A$300,0))&amp;""</f>
        <v>거래 / 종목 / 종목상세 / 주문 (간편)&gt; 대기&gt; 수정&gt; 취소</v>
      </c>
      <c r="G218" s="18">
        <v>1</v>
      </c>
      <c r="H218" s="9" t="s">
        <v>1035</v>
      </c>
      <c r="I218" s="9" t="s">
        <v>1036</v>
      </c>
      <c r="J218" s="9"/>
      <c r="K218" s="25" t="s">
        <v>13</v>
      </c>
      <c r="L218" s="9" t="s">
        <v>851</v>
      </c>
      <c r="M218" s="9"/>
    </row>
    <row r="219" spans="1:13" ht="25" hidden="1">
      <c r="A219" s="18" t="s">
        <v>193</v>
      </c>
      <c r="B219" s="19" t="str">
        <f>INDEX(메뉴구조!$B$5:$B$300,MATCH($A219,메뉴구조!$A$5:$A$300,0))&amp;""</f>
        <v>거래</v>
      </c>
      <c r="C219" s="19" t="str">
        <f>INDEX(메뉴구조!$C$5:$C$300,MATCH($A219,메뉴구조!$A$5:$A$300,0))&amp;""</f>
        <v>종목</v>
      </c>
      <c r="D219" s="19" t="str">
        <f>INDEX(메뉴구조!$D$5:$D$300,MATCH($A219,메뉴구조!$A$5:$A$300,0))&amp;""</f>
        <v>종목상세</v>
      </c>
      <c r="E219" s="19" t="str">
        <f>INDEX(메뉴구조!$E$5:$E$300,MATCH($A219,메뉴구조!$A$5:$A$300,0))&amp;""</f>
        <v>주문 (간편)&gt; 대기&gt; 수정&gt; 취소</v>
      </c>
      <c r="F219" s="9" t="str">
        <f>INDEX(메뉴구조!$G$5:$G$300,MATCH($A219,메뉴구조!$A$5:$A$300,0))&amp;""</f>
        <v>거래 / 종목 / 종목상세 / 주문 (간편)&gt; 대기&gt; 수정&gt; 취소</v>
      </c>
      <c r="G219" s="18">
        <v>2</v>
      </c>
      <c r="H219" s="9" t="s">
        <v>1037</v>
      </c>
      <c r="I219" s="9" t="s">
        <v>1038</v>
      </c>
      <c r="J219" s="9"/>
      <c r="K219" s="25" t="s">
        <v>13</v>
      </c>
      <c r="L219" s="9" t="s">
        <v>851</v>
      </c>
      <c r="M219" s="9"/>
    </row>
    <row r="220" spans="1:13" ht="25" hidden="1">
      <c r="A220" s="18" t="s">
        <v>193</v>
      </c>
      <c r="B220" s="19" t="str">
        <f>INDEX(메뉴구조!$B$5:$B$300,MATCH($A220,메뉴구조!$A$5:$A$300,0))&amp;""</f>
        <v>거래</v>
      </c>
      <c r="C220" s="19" t="str">
        <f>INDEX(메뉴구조!$C$5:$C$300,MATCH($A220,메뉴구조!$A$5:$A$300,0))&amp;""</f>
        <v>종목</v>
      </c>
      <c r="D220" s="19" t="str">
        <f>INDEX(메뉴구조!$D$5:$D$300,MATCH($A220,메뉴구조!$A$5:$A$300,0))&amp;""</f>
        <v>종목상세</v>
      </c>
      <c r="E220" s="19" t="str">
        <f>INDEX(메뉴구조!$E$5:$E$300,MATCH($A220,메뉴구조!$A$5:$A$300,0))&amp;""</f>
        <v>주문 (간편)&gt; 대기&gt; 수정&gt; 취소</v>
      </c>
      <c r="F220" s="9" t="str">
        <f>INDEX(메뉴구조!$G$5:$G$300,MATCH($A220,메뉴구조!$A$5:$A$300,0))&amp;""</f>
        <v>거래 / 종목 / 종목상세 / 주문 (간편)&gt; 대기&gt; 수정&gt; 취소</v>
      </c>
      <c r="G220" s="18">
        <v>3</v>
      </c>
      <c r="H220" s="9" t="s">
        <v>1039</v>
      </c>
      <c r="I220" s="9" t="s">
        <v>1040</v>
      </c>
      <c r="J220" s="9"/>
      <c r="K220" s="25" t="s">
        <v>13</v>
      </c>
      <c r="L220" s="9" t="s">
        <v>851</v>
      </c>
      <c r="M220" s="9"/>
    </row>
    <row r="221" spans="1:13" ht="37.5" hidden="1">
      <c r="A221" s="18" t="s">
        <v>193</v>
      </c>
      <c r="B221" s="19" t="str">
        <f>INDEX(메뉴구조!$B$5:$B$300,MATCH($A221,메뉴구조!$A$5:$A$300,0))&amp;""</f>
        <v>거래</v>
      </c>
      <c r="C221" s="19" t="str">
        <f>INDEX(메뉴구조!$C$5:$C$300,MATCH($A221,메뉴구조!$A$5:$A$300,0))&amp;""</f>
        <v>종목</v>
      </c>
      <c r="D221" s="19" t="str">
        <f>INDEX(메뉴구조!$D$5:$D$300,MATCH($A221,메뉴구조!$A$5:$A$300,0))&amp;""</f>
        <v>종목상세</v>
      </c>
      <c r="E221" s="19" t="str">
        <f>INDEX(메뉴구조!$E$5:$E$300,MATCH($A221,메뉴구조!$A$5:$A$300,0))&amp;""</f>
        <v>주문 (간편)&gt; 대기&gt; 수정&gt; 취소</v>
      </c>
      <c r="F221" s="9" t="str">
        <f>INDEX(메뉴구조!$G$5:$G$300,MATCH($A221,메뉴구조!$A$5:$A$300,0))&amp;""</f>
        <v>거래 / 종목 / 종목상세 / 주문 (간편)&gt; 대기&gt; 수정&gt; 취소</v>
      </c>
      <c r="G221" s="18">
        <v>4</v>
      </c>
      <c r="H221" s="9" t="s">
        <v>1041</v>
      </c>
      <c r="I221" s="9" t="s">
        <v>1042</v>
      </c>
      <c r="J221" s="9" t="s">
        <v>1043</v>
      </c>
      <c r="K221" s="25" t="s">
        <v>13</v>
      </c>
      <c r="L221" s="9" t="s">
        <v>851</v>
      </c>
      <c r="M221" s="9"/>
    </row>
    <row r="222" spans="1:13" ht="37.5" hidden="1">
      <c r="A222" s="18" t="s">
        <v>196</v>
      </c>
      <c r="B222" s="19" t="str">
        <f>INDEX(메뉴구조!$B$5:$B$300,MATCH($A222,메뉴구조!$A$5:$A$300,0))&amp;""</f>
        <v>거래</v>
      </c>
      <c r="C222" s="19" t="str">
        <f>INDEX(메뉴구조!$C$5:$C$300,MATCH($A222,메뉴구조!$A$5:$A$300,0))&amp;""</f>
        <v>종목</v>
      </c>
      <c r="D222" s="19" t="str">
        <f>INDEX(메뉴구조!$D$5:$D$300,MATCH($A222,메뉴구조!$A$5:$A$300,0))&amp;""</f>
        <v>종목상세</v>
      </c>
      <c r="E222" s="19" t="str">
        <f>INDEX(메뉴구조!$E$5:$E$300,MATCH($A222,메뉴구조!$A$5:$A$300,0))&amp;""</f>
        <v>주문 (일반)</v>
      </c>
      <c r="F222" s="9" t="str">
        <f>INDEX(메뉴구조!$G$5:$G$300,MATCH($A222,메뉴구조!$A$5:$A$300,0))&amp;""</f>
        <v>거래 / 종목 / 종목상세 / 주문 (일반)</v>
      </c>
      <c r="G222" s="18">
        <v>1</v>
      </c>
      <c r="H222" s="9" t="s">
        <v>1044</v>
      </c>
      <c r="I222" s="9" t="s">
        <v>1045</v>
      </c>
      <c r="J222" s="9"/>
      <c r="K222" s="25" t="s">
        <v>13</v>
      </c>
      <c r="L222" s="9" t="s">
        <v>851</v>
      </c>
      <c r="M222" s="9"/>
    </row>
    <row r="223" spans="1:13" ht="37.5" hidden="1">
      <c r="A223" s="18" t="s">
        <v>196</v>
      </c>
      <c r="B223" s="19" t="str">
        <f>INDEX(메뉴구조!$B$5:$B$300,MATCH($A223,메뉴구조!$A$5:$A$300,0))&amp;""</f>
        <v>거래</v>
      </c>
      <c r="C223" s="19" t="str">
        <f>INDEX(메뉴구조!$C$5:$C$300,MATCH($A223,메뉴구조!$A$5:$A$300,0))&amp;""</f>
        <v>종목</v>
      </c>
      <c r="D223" s="19" t="str">
        <f>INDEX(메뉴구조!$D$5:$D$300,MATCH($A223,메뉴구조!$A$5:$A$300,0))&amp;""</f>
        <v>종목상세</v>
      </c>
      <c r="E223" s="19" t="str">
        <f>INDEX(메뉴구조!$E$5:$E$300,MATCH($A223,메뉴구조!$A$5:$A$300,0))&amp;""</f>
        <v>주문 (일반)</v>
      </c>
      <c r="F223" s="9" t="str">
        <f>INDEX(메뉴구조!$G$5:$G$300,MATCH($A223,메뉴구조!$A$5:$A$300,0))&amp;""</f>
        <v>거래 / 종목 / 종목상세 / 주문 (일반)</v>
      </c>
      <c r="G223" s="18">
        <v>2</v>
      </c>
      <c r="H223" s="9" t="s">
        <v>1046</v>
      </c>
      <c r="I223" s="9" t="s">
        <v>1047</v>
      </c>
      <c r="J223" s="9"/>
      <c r="K223" s="25" t="s">
        <v>13</v>
      </c>
      <c r="L223" s="9" t="s">
        <v>851</v>
      </c>
      <c r="M223" s="9"/>
    </row>
    <row r="224" spans="1:13" ht="62.5" hidden="1">
      <c r="A224" s="18" t="s">
        <v>196</v>
      </c>
      <c r="B224" s="19" t="str">
        <f>INDEX(메뉴구조!$B$5:$B$300,MATCH($A224,메뉴구조!$A$5:$A$300,0))&amp;""</f>
        <v>거래</v>
      </c>
      <c r="C224" s="19" t="str">
        <f>INDEX(메뉴구조!$C$5:$C$300,MATCH($A224,메뉴구조!$A$5:$A$300,0))&amp;""</f>
        <v>종목</v>
      </c>
      <c r="D224" s="19" t="str">
        <f>INDEX(메뉴구조!$D$5:$D$300,MATCH($A224,메뉴구조!$A$5:$A$300,0))&amp;""</f>
        <v>종목상세</v>
      </c>
      <c r="E224" s="19" t="str">
        <f>INDEX(메뉴구조!$E$5:$E$300,MATCH($A224,메뉴구조!$A$5:$A$300,0))&amp;""</f>
        <v>주문 (일반)</v>
      </c>
      <c r="F224" s="9" t="str">
        <f>INDEX(메뉴구조!$G$5:$G$300,MATCH($A224,메뉴구조!$A$5:$A$300,0))&amp;""</f>
        <v>거래 / 종목 / 종목상세 / 주문 (일반)</v>
      </c>
      <c r="G224" s="18">
        <v>3</v>
      </c>
      <c r="H224" s="9" t="s">
        <v>1048</v>
      </c>
      <c r="I224" s="9" t="s">
        <v>1049</v>
      </c>
      <c r="J224" s="9" t="s">
        <v>1050</v>
      </c>
      <c r="K224" s="25" t="s">
        <v>13</v>
      </c>
      <c r="L224" s="9" t="s">
        <v>851</v>
      </c>
      <c r="M224" s="9"/>
    </row>
    <row r="225" spans="1:13" ht="25" hidden="1">
      <c r="A225" s="18" t="s">
        <v>196</v>
      </c>
      <c r="B225" s="19" t="str">
        <f>INDEX(메뉴구조!$B$5:$B$300,MATCH($A225,메뉴구조!$A$5:$A$300,0))&amp;""</f>
        <v>거래</v>
      </c>
      <c r="C225" s="19" t="str">
        <f>INDEX(메뉴구조!$C$5:$C$300,MATCH($A225,메뉴구조!$A$5:$A$300,0))&amp;""</f>
        <v>종목</v>
      </c>
      <c r="D225" s="19" t="str">
        <f>INDEX(메뉴구조!$D$5:$D$300,MATCH($A225,메뉴구조!$A$5:$A$300,0))&amp;""</f>
        <v>종목상세</v>
      </c>
      <c r="E225" s="19" t="str">
        <f>INDEX(메뉴구조!$E$5:$E$300,MATCH($A225,메뉴구조!$A$5:$A$300,0))&amp;""</f>
        <v>주문 (일반)</v>
      </c>
      <c r="F225" s="9" t="str">
        <f>INDEX(메뉴구조!$G$5:$G$300,MATCH($A225,메뉴구조!$A$5:$A$300,0))&amp;""</f>
        <v>거래 / 종목 / 종목상세 / 주문 (일반)</v>
      </c>
      <c r="G225" s="18">
        <v>4</v>
      </c>
      <c r="H225" s="9" t="s">
        <v>1051</v>
      </c>
      <c r="I225" s="9" t="s">
        <v>1052</v>
      </c>
      <c r="J225" s="9" t="s">
        <v>1053</v>
      </c>
      <c r="K225" s="25" t="s">
        <v>13</v>
      </c>
      <c r="L225" s="9" t="s">
        <v>851</v>
      </c>
      <c r="M225" s="9"/>
    </row>
    <row r="226" spans="1:13" ht="50" hidden="1">
      <c r="A226" s="18" t="s">
        <v>196</v>
      </c>
      <c r="B226" s="19" t="str">
        <f>INDEX(메뉴구조!$B$5:$B$300,MATCH($A226,메뉴구조!$A$5:$A$300,0))&amp;""</f>
        <v>거래</v>
      </c>
      <c r="C226" s="19" t="str">
        <f>INDEX(메뉴구조!$C$5:$C$300,MATCH($A226,메뉴구조!$A$5:$A$300,0))&amp;""</f>
        <v>종목</v>
      </c>
      <c r="D226" s="19" t="str">
        <f>INDEX(메뉴구조!$D$5:$D$300,MATCH($A226,메뉴구조!$A$5:$A$300,0))&amp;""</f>
        <v>종목상세</v>
      </c>
      <c r="E226" s="19" t="str">
        <f>INDEX(메뉴구조!$E$5:$E$300,MATCH($A226,메뉴구조!$A$5:$A$300,0))&amp;""</f>
        <v>주문 (일반)</v>
      </c>
      <c r="F226" s="9" t="str">
        <f>INDEX(메뉴구조!$G$5:$G$300,MATCH($A226,메뉴구조!$A$5:$A$300,0))&amp;""</f>
        <v>거래 / 종목 / 종목상세 / 주문 (일반)</v>
      </c>
      <c r="G226" s="18">
        <v>5</v>
      </c>
      <c r="H226" s="9" t="s">
        <v>1054</v>
      </c>
      <c r="I226" s="9" t="s">
        <v>1055</v>
      </c>
      <c r="J226" s="9"/>
      <c r="K226" s="25" t="s">
        <v>13</v>
      </c>
      <c r="L226" s="9" t="s">
        <v>851</v>
      </c>
      <c r="M226" s="9"/>
    </row>
    <row r="227" spans="1:13" ht="37.5" hidden="1">
      <c r="A227" s="18" t="s">
        <v>199</v>
      </c>
      <c r="B227" s="19" t="str">
        <f>INDEX(메뉴구조!$B$5:$B$300,MATCH($A227,메뉴구조!$A$5:$A$300,0))&amp;""</f>
        <v>거래</v>
      </c>
      <c r="C227" s="19" t="str">
        <f>INDEX(메뉴구조!$C$5:$C$300,MATCH($A227,메뉴구조!$A$5:$A$300,0))&amp;""</f>
        <v>종목</v>
      </c>
      <c r="D227" s="19" t="str">
        <f>INDEX(메뉴구조!$D$5:$D$300,MATCH($A227,메뉴구조!$A$5:$A$300,0))&amp;""</f>
        <v>종목상세</v>
      </c>
      <c r="E227" s="19" t="str">
        <f>INDEX(메뉴구조!$E$5:$E$300,MATCH($A227,메뉴구조!$A$5:$A$300,0))&amp;""</f>
        <v>주문 (일반)&gt; 구매&gt; 구매희망가</v>
      </c>
      <c r="F227" s="9" t="str">
        <f>INDEX(메뉴구조!$G$5:$G$300,MATCH($A227,메뉴구조!$A$5:$A$300,0))&amp;""</f>
        <v>거래 / 종목 / 종목상세 / 주문 (일반)&gt; 구매&gt; 구매희망가</v>
      </c>
      <c r="G227" s="18">
        <v>1</v>
      </c>
      <c r="H227" s="9" t="s">
        <v>1056</v>
      </c>
      <c r="I227" s="9" t="s">
        <v>1057</v>
      </c>
      <c r="J227" s="9"/>
      <c r="K227" s="25" t="s">
        <v>13</v>
      </c>
      <c r="L227" s="9" t="s">
        <v>851</v>
      </c>
      <c r="M227" s="9"/>
    </row>
    <row r="228" spans="1:13" ht="37.5" hidden="1">
      <c r="A228" s="18" t="s">
        <v>199</v>
      </c>
      <c r="B228" s="19" t="str">
        <f>INDEX(메뉴구조!$B$5:$B$300,MATCH($A228,메뉴구조!$A$5:$A$300,0))&amp;""</f>
        <v>거래</v>
      </c>
      <c r="C228" s="19" t="str">
        <f>INDEX(메뉴구조!$C$5:$C$300,MATCH($A228,메뉴구조!$A$5:$A$300,0))&amp;""</f>
        <v>종목</v>
      </c>
      <c r="D228" s="19" t="str">
        <f>INDEX(메뉴구조!$D$5:$D$300,MATCH($A228,메뉴구조!$A$5:$A$300,0))&amp;""</f>
        <v>종목상세</v>
      </c>
      <c r="E228" s="19" t="str">
        <f>INDEX(메뉴구조!$E$5:$E$300,MATCH($A228,메뉴구조!$A$5:$A$300,0))&amp;""</f>
        <v>주문 (일반)&gt; 구매&gt; 구매희망가</v>
      </c>
      <c r="F228" s="9" t="str">
        <f>INDEX(메뉴구조!$G$5:$G$300,MATCH($A228,메뉴구조!$A$5:$A$300,0))&amp;""</f>
        <v>거래 / 종목 / 종목상세 / 주문 (일반)&gt; 구매&gt; 구매희망가</v>
      </c>
      <c r="G228" s="18">
        <v>2</v>
      </c>
      <c r="H228" s="9" t="s">
        <v>1058</v>
      </c>
      <c r="I228" s="9" t="s">
        <v>1059</v>
      </c>
      <c r="J228" s="9" t="s">
        <v>1060</v>
      </c>
      <c r="K228" s="25" t="s">
        <v>13</v>
      </c>
      <c r="L228" s="9" t="s">
        <v>851</v>
      </c>
      <c r="M228" s="9"/>
    </row>
    <row r="229" spans="1:13" ht="37.5" hidden="1">
      <c r="A229" s="18" t="s">
        <v>199</v>
      </c>
      <c r="B229" s="19" t="str">
        <f>INDEX(메뉴구조!$B$5:$B$300,MATCH($A229,메뉴구조!$A$5:$A$300,0))&amp;""</f>
        <v>거래</v>
      </c>
      <c r="C229" s="19" t="str">
        <f>INDEX(메뉴구조!$C$5:$C$300,MATCH($A229,메뉴구조!$A$5:$A$300,0))&amp;""</f>
        <v>종목</v>
      </c>
      <c r="D229" s="19" t="str">
        <f>INDEX(메뉴구조!$D$5:$D$300,MATCH($A229,메뉴구조!$A$5:$A$300,0))&amp;""</f>
        <v>종목상세</v>
      </c>
      <c r="E229" s="19" t="str">
        <f>INDEX(메뉴구조!$E$5:$E$300,MATCH($A229,메뉴구조!$A$5:$A$300,0))&amp;""</f>
        <v>주문 (일반)&gt; 구매&gt; 구매희망가</v>
      </c>
      <c r="F229" s="9" t="str">
        <f>INDEX(메뉴구조!$G$5:$G$300,MATCH($A229,메뉴구조!$A$5:$A$300,0))&amp;""</f>
        <v>거래 / 종목 / 종목상세 / 주문 (일반)&gt; 구매&gt; 구매희망가</v>
      </c>
      <c r="G229" s="18">
        <v>3</v>
      </c>
      <c r="H229" s="9" t="s">
        <v>1061</v>
      </c>
      <c r="I229" s="9" t="s">
        <v>1062</v>
      </c>
      <c r="J229" s="9"/>
      <c r="K229" s="25" t="s">
        <v>13</v>
      </c>
      <c r="L229" s="9" t="s">
        <v>851</v>
      </c>
      <c r="M229" s="9"/>
    </row>
    <row r="230" spans="1:13" ht="25" hidden="1">
      <c r="A230" s="18" t="s">
        <v>202</v>
      </c>
      <c r="B230" s="19" t="str">
        <f>INDEX(메뉴구조!$B$5:$B$300,MATCH($A230,메뉴구조!$A$5:$A$300,0))&amp;""</f>
        <v>거래</v>
      </c>
      <c r="C230" s="19" t="str">
        <f>INDEX(메뉴구조!$C$5:$C$300,MATCH($A230,메뉴구조!$A$5:$A$300,0))&amp;""</f>
        <v>종목</v>
      </c>
      <c r="D230" s="19" t="str">
        <f>INDEX(메뉴구조!$D$5:$D$300,MATCH($A230,메뉴구조!$A$5:$A$300,0))&amp;""</f>
        <v>종목상세</v>
      </c>
      <c r="E230" s="19" t="str">
        <f>INDEX(메뉴구조!$E$5:$E$300,MATCH($A230,메뉴구조!$A$5:$A$300,0))&amp;""</f>
        <v>주문 (일반)&gt; 구매&gt; 구매희망가_가격 및 수량 입력(1&gt; 3)</v>
      </c>
      <c r="F230" s="9" t="str">
        <f>INDEX(메뉴구조!$G$5:$G$300,MATCH($A230,메뉴구조!$A$5:$A$300,0))&amp;""</f>
        <v>거래 / 종목 / 종목상세 / 주문 (일반)&gt; 구매&gt; 구매희망가_가격 및 수량 입력(1&gt; 3)</v>
      </c>
      <c r="G230" s="18">
        <v>1</v>
      </c>
      <c r="H230" s="9" t="s">
        <v>1063</v>
      </c>
      <c r="I230" s="9" t="s">
        <v>1064</v>
      </c>
      <c r="J230" s="9"/>
      <c r="K230" s="25" t="s">
        <v>13</v>
      </c>
      <c r="L230" s="9" t="s">
        <v>851</v>
      </c>
      <c r="M230" s="9"/>
    </row>
    <row r="231" spans="1:13" ht="37.5" hidden="1">
      <c r="A231" s="18" t="s">
        <v>202</v>
      </c>
      <c r="B231" s="19" t="str">
        <f>INDEX(메뉴구조!$B$5:$B$300,MATCH($A231,메뉴구조!$A$5:$A$300,0))&amp;""</f>
        <v>거래</v>
      </c>
      <c r="C231" s="19" t="str">
        <f>INDEX(메뉴구조!$C$5:$C$300,MATCH($A231,메뉴구조!$A$5:$A$300,0))&amp;""</f>
        <v>종목</v>
      </c>
      <c r="D231" s="19" t="str">
        <f>INDEX(메뉴구조!$D$5:$D$300,MATCH($A231,메뉴구조!$A$5:$A$300,0))&amp;""</f>
        <v>종목상세</v>
      </c>
      <c r="E231" s="19" t="str">
        <f>INDEX(메뉴구조!$E$5:$E$300,MATCH($A231,메뉴구조!$A$5:$A$300,0))&amp;""</f>
        <v>주문 (일반)&gt; 구매&gt; 구매희망가_가격 및 수량 입력(1&gt; 3)</v>
      </c>
      <c r="F231" s="9" t="str">
        <f>INDEX(메뉴구조!$G$5:$G$300,MATCH($A231,메뉴구조!$A$5:$A$300,0))&amp;""</f>
        <v>거래 / 종목 / 종목상세 / 주문 (일반)&gt; 구매&gt; 구매희망가_가격 및 수량 입력(1&gt; 3)</v>
      </c>
      <c r="G231" s="18">
        <v>2</v>
      </c>
      <c r="H231" s="9" t="s">
        <v>1065</v>
      </c>
      <c r="I231" s="9" t="s">
        <v>1066</v>
      </c>
      <c r="J231" s="9" t="s">
        <v>1067</v>
      </c>
      <c r="K231" s="25" t="s">
        <v>13</v>
      </c>
      <c r="L231" s="9" t="s">
        <v>851</v>
      </c>
      <c r="M231" s="9"/>
    </row>
    <row r="232" spans="1:13" ht="25" hidden="1">
      <c r="A232" s="18" t="s">
        <v>202</v>
      </c>
      <c r="B232" s="19" t="str">
        <f>INDEX(메뉴구조!$B$5:$B$300,MATCH($A232,메뉴구조!$A$5:$A$300,0))&amp;""</f>
        <v>거래</v>
      </c>
      <c r="C232" s="19" t="str">
        <f>INDEX(메뉴구조!$C$5:$C$300,MATCH($A232,메뉴구조!$A$5:$A$300,0))&amp;""</f>
        <v>종목</v>
      </c>
      <c r="D232" s="19" t="str">
        <f>INDEX(메뉴구조!$D$5:$D$300,MATCH($A232,메뉴구조!$A$5:$A$300,0))&amp;""</f>
        <v>종목상세</v>
      </c>
      <c r="E232" s="19" t="str">
        <f>INDEX(메뉴구조!$E$5:$E$300,MATCH($A232,메뉴구조!$A$5:$A$300,0))&amp;""</f>
        <v>주문 (일반)&gt; 구매&gt; 구매희망가_가격 및 수량 입력(1&gt; 3)</v>
      </c>
      <c r="F232" s="9" t="str">
        <f>INDEX(메뉴구조!$G$5:$G$300,MATCH($A232,메뉴구조!$A$5:$A$300,0))&amp;""</f>
        <v>거래 / 종목 / 종목상세 / 주문 (일반)&gt; 구매&gt; 구매희망가_가격 및 수량 입력(1&gt; 3)</v>
      </c>
      <c r="G232" s="18">
        <v>3</v>
      </c>
      <c r="H232" s="9" t="s">
        <v>1068</v>
      </c>
      <c r="I232" s="9" t="s">
        <v>1069</v>
      </c>
      <c r="J232" s="9"/>
      <c r="K232" s="25" t="s">
        <v>13</v>
      </c>
      <c r="L232" s="9" t="s">
        <v>851</v>
      </c>
      <c r="M232" s="9"/>
    </row>
    <row r="233" spans="1:13" ht="37.5" hidden="1">
      <c r="A233" s="18" t="s">
        <v>205</v>
      </c>
      <c r="B233" s="19" t="str">
        <f>INDEX(메뉴구조!$B$5:$B$300,MATCH($A233,메뉴구조!$A$5:$A$300,0))&amp;""</f>
        <v>거래</v>
      </c>
      <c r="C233" s="19" t="str">
        <f>INDEX(메뉴구조!$C$5:$C$300,MATCH($A233,메뉴구조!$A$5:$A$300,0))&amp;""</f>
        <v>종목</v>
      </c>
      <c r="D233" s="19" t="str">
        <f>INDEX(메뉴구조!$D$5:$D$300,MATCH($A233,메뉴구조!$A$5:$A$300,0))&amp;""</f>
        <v>종목상세</v>
      </c>
      <c r="E233" s="19" t="str">
        <f>INDEX(메뉴구조!$E$5:$E$300,MATCH($A233,메뉴구조!$A$5:$A$300,0))&amp;""</f>
        <v>주문 (일반)&gt; 구매&gt; 구매희망가_가격 및 수량 입력(2&gt; 3)</v>
      </c>
      <c r="F233" s="9" t="str">
        <f>INDEX(메뉴구조!$G$5:$G$300,MATCH($A233,메뉴구조!$A$5:$A$300,0))&amp;""</f>
        <v>거래 / 종목 / 종목상세 / 주문 (일반)&gt; 구매&gt; 구매희망가_가격 및 수량 입력(2&gt; 3)</v>
      </c>
      <c r="G233" s="18">
        <v>1</v>
      </c>
      <c r="H233" s="9" t="s">
        <v>1070</v>
      </c>
      <c r="I233" s="9" t="s">
        <v>1071</v>
      </c>
      <c r="J233" s="9"/>
      <c r="K233" s="25" t="s">
        <v>13</v>
      </c>
      <c r="L233" s="9" t="s">
        <v>851</v>
      </c>
      <c r="M233" s="9"/>
    </row>
    <row r="234" spans="1:13" ht="37.5" hidden="1">
      <c r="A234" s="18" t="s">
        <v>205</v>
      </c>
      <c r="B234" s="19" t="str">
        <f>INDEX(메뉴구조!$B$5:$B$300,MATCH($A234,메뉴구조!$A$5:$A$300,0))&amp;""</f>
        <v>거래</v>
      </c>
      <c r="C234" s="19" t="str">
        <f>INDEX(메뉴구조!$C$5:$C$300,MATCH($A234,메뉴구조!$A$5:$A$300,0))&amp;""</f>
        <v>종목</v>
      </c>
      <c r="D234" s="19" t="str">
        <f>INDEX(메뉴구조!$D$5:$D$300,MATCH($A234,메뉴구조!$A$5:$A$300,0))&amp;""</f>
        <v>종목상세</v>
      </c>
      <c r="E234" s="19" t="str">
        <f>INDEX(메뉴구조!$E$5:$E$300,MATCH($A234,메뉴구조!$A$5:$A$300,0))&amp;""</f>
        <v>주문 (일반)&gt; 구매&gt; 구매희망가_가격 및 수량 입력(2&gt; 3)</v>
      </c>
      <c r="F234" s="9" t="str">
        <f>INDEX(메뉴구조!$G$5:$G$300,MATCH($A234,메뉴구조!$A$5:$A$300,0))&amp;""</f>
        <v>거래 / 종목 / 종목상세 / 주문 (일반)&gt; 구매&gt; 구매희망가_가격 및 수량 입력(2&gt; 3)</v>
      </c>
      <c r="G234" s="18">
        <v>2</v>
      </c>
      <c r="H234" s="9" t="s">
        <v>1072</v>
      </c>
      <c r="I234" s="9" t="s">
        <v>1073</v>
      </c>
      <c r="J234" s="9"/>
      <c r="K234" s="25" t="s">
        <v>13</v>
      </c>
      <c r="L234" s="9" t="s">
        <v>851</v>
      </c>
      <c r="M234" s="9"/>
    </row>
    <row r="235" spans="1:13" ht="25" hidden="1">
      <c r="A235" s="18" t="s">
        <v>205</v>
      </c>
      <c r="B235" s="19" t="str">
        <f>INDEX(메뉴구조!$B$5:$B$300,MATCH($A235,메뉴구조!$A$5:$A$300,0))&amp;""</f>
        <v>거래</v>
      </c>
      <c r="C235" s="19" t="str">
        <f>INDEX(메뉴구조!$C$5:$C$300,MATCH($A235,메뉴구조!$A$5:$A$300,0))&amp;""</f>
        <v>종목</v>
      </c>
      <c r="D235" s="19" t="str">
        <f>INDEX(메뉴구조!$D$5:$D$300,MATCH($A235,메뉴구조!$A$5:$A$300,0))&amp;""</f>
        <v>종목상세</v>
      </c>
      <c r="E235" s="19" t="str">
        <f>INDEX(메뉴구조!$E$5:$E$300,MATCH($A235,메뉴구조!$A$5:$A$300,0))&amp;""</f>
        <v>주문 (일반)&gt; 구매&gt; 구매희망가_가격 및 수량 입력(2&gt; 3)</v>
      </c>
      <c r="F235" s="9" t="str">
        <f>INDEX(메뉴구조!$G$5:$G$300,MATCH($A235,메뉴구조!$A$5:$A$300,0))&amp;""</f>
        <v>거래 / 종목 / 종목상세 / 주문 (일반)&gt; 구매&gt; 구매희망가_가격 및 수량 입력(2&gt; 3)</v>
      </c>
      <c r="G235" s="18">
        <v>3</v>
      </c>
      <c r="H235" s="9" t="s">
        <v>1068</v>
      </c>
      <c r="I235" s="9" t="s">
        <v>1074</v>
      </c>
      <c r="J235" s="9"/>
      <c r="K235" s="25" t="s">
        <v>13</v>
      </c>
      <c r="L235" s="9" t="s">
        <v>851</v>
      </c>
      <c r="M235" s="9"/>
    </row>
    <row r="236" spans="1:13" ht="25" hidden="1">
      <c r="A236" s="18" t="s">
        <v>208</v>
      </c>
      <c r="B236" s="19" t="str">
        <f>INDEX(메뉴구조!$B$5:$B$300,MATCH($A236,메뉴구조!$A$5:$A$300,0))&amp;""</f>
        <v>거래</v>
      </c>
      <c r="C236" s="19" t="str">
        <f>INDEX(메뉴구조!$C$5:$C$300,MATCH($A236,메뉴구조!$A$5:$A$300,0))&amp;""</f>
        <v>종목</v>
      </c>
      <c r="D236" s="19" t="str">
        <f>INDEX(메뉴구조!$D$5:$D$300,MATCH($A236,메뉴구조!$A$5:$A$300,0))&amp;""</f>
        <v>종목상세</v>
      </c>
      <c r="E236" s="19" t="str">
        <f>INDEX(메뉴구조!$E$5:$E$300,MATCH($A236,메뉴구조!$A$5:$A$300,0))&amp;""</f>
        <v>주문 (일반)&gt; 구매&gt; 구매희망가_가격 및 수량 입력(3&gt; 3)</v>
      </c>
      <c r="F236" s="9" t="str">
        <f>INDEX(메뉴구조!$G$5:$G$300,MATCH($A236,메뉴구조!$A$5:$A$300,0))&amp;""</f>
        <v>거래 / 종목 / 종목상세 / 주문 (일반)&gt; 구매&gt; 구매희망가_가격 및 수량 입력(3&gt; 3)</v>
      </c>
      <c r="G236" s="18">
        <v>1</v>
      </c>
      <c r="H236" s="9" t="s">
        <v>1075</v>
      </c>
      <c r="I236" s="9" t="s">
        <v>1076</v>
      </c>
      <c r="J236" s="9"/>
      <c r="K236" s="25" t="s">
        <v>13</v>
      </c>
      <c r="L236" s="9" t="s">
        <v>851</v>
      </c>
      <c r="M236" s="9"/>
    </row>
    <row r="237" spans="1:13" ht="25" hidden="1">
      <c r="A237" s="18" t="s">
        <v>208</v>
      </c>
      <c r="B237" s="19" t="str">
        <f>INDEX(메뉴구조!$B$5:$B$300,MATCH($A237,메뉴구조!$A$5:$A$300,0))&amp;""</f>
        <v>거래</v>
      </c>
      <c r="C237" s="19" t="str">
        <f>INDEX(메뉴구조!$C$5:$C$300,MATCH($A237,메뉴구조!$A$5:$A$300,0))&amp;""</f>
        <v>종목</v>
      </c>
      <c r="D237" s="19" t="str">
        <f>INDEX(메뉴구조!$D$5:$D$300,MATCH($A237,메뉴구조!$A$5:$A$300,0))&amp;""</f>
        <v>종목상세</v>
      </c>
      <c r="E237" s="19" t="str">
        <f>INDEX(메뉴구조!$E$5:$E$300,MATCH($A237,메뉴구조!$A$5:$A$300,0))&amp;""</f>
        <v>주문 (일반)&gt; 구매&gt; 구매희망가_가격 및 수량 입력(3&gt; 3)</v>
      </c>
      <c r="F237" s="9" t="str">
        <f>INDEX(메뉴구조!$G$5:$G$300,MATCH($A237,메뉴구조!$A$5:$A$300,0))&amp;""</f>
        <v>거래 / 종목 / 종목상세 / 주문 (일반)&gt; 구매&gt; 구매희망가_가격 및 수량 입력(3&gt; 3)</v>
      </c>
      <c r="G237" s="18">
        <v>2</v>
      </c>
      <c r="H237" s="31" t="s">
        <v>1077</v>
      </c>
      <c r="I237" s="31" t="s">
        <v>1078</v>
      </c>
      <c r="J237" s="9" t="s">
        <v>1079</v>
      </c>
      <c r="K237" s="20" t="s">
        <v>9</v>
      </c>
      <c r="L237" s="9" t="s">
        <v>938</v>
      </c>
      <c r="M237" s="9" t="s">
        <v>1080</v>
      </c>
    </row>
    <row r="238" spans="1:13" ht="37.5" hidden="1">
      <c r="A238" s="18" t="s">
        <v>211</v>
      </c>
      <c r="B238" s="19" t="str">
        <f>INDEX(메뉴구조!$B$5:$B$300,MATCH($A238,메뉴구조!$A$5:$A$300,0))&amp;""</f>
        <v>거래</v>
      </c>
      <c r="C238" s="19" t="str">
        <f>INDEX(메뉴구조!$C$5:$C$300,MATCH($A238,메뉴구조!$A$5:$A$300,0))&amp;""</f>
        <v>종목</v>
      </c>
      <c r="D238" s="19" t="str">
        <f>INDEX(메뉴구조!$D$5:$D$300,MATCH($A238,메뉴구조!$A$5:$A$300,0))&amp;""</f>
        <v>종목상세</v>
      </c>
      <c r="E238" s="19" t="str">
        <f>INDEX(메뉴구조!$E$5:$E$300,MATCH($A238,메뉴구조!$A$5:$A$300,0))&amp;""</f>
        <v>주문 (일반)&gt; 구매&gt; 구매희망가&gt; 구매주문</v>
      </c>
      <c r="F238" s="9" t="str">
        <f>INDEX(메뉴구조!$G$5:$G$300,MATCH($A238,메뉴구조!$A$5:$A$300,0))&amp;""</f>
        <v>거래 / 종목 / 종목상세 / 주문 (일반)&gt; 구매&gt; 구매희망가&gt; 구매주문</v>
      </c>
      <c r="G238" s="18">
        <v>1</v>
      </c>
      <c r="H238" s="31" t="s">
        <v>1081</v>
      </c>
      <c r="I238" s="31" t="s">
        <v>1082</v>
      </c>
      <c r="J238" s="9"/>
      <c r="K238" s="20" t="s">
        <v>9</v>
      </c>
      <c r="L238" s="9" t="s">
        <v>938</v>
      </c>
      <c r="M238" s="9" t="s">
        <v>1083</v>
      </c>
    </row>
    <row r="239" spans="1:13" ht="25" hidden="1">
      <c r="A239" s="18" t="s">
        <v>211</v>
      </c>
      <c r="B239" s="19" t="str">
        <f>INDEX(메뉴구조!$B$5:$B$300,MATCH($A239,메뉴구조!$A$5:$A$300,0))&amp;""</f>
        <v>거래</v>
      </c>
      <c r="C239" s="19" t="str">
        <f>INDEX(메뉴구조!$C$5:$C$300,MATCH($A239,메뉴구조!$A$5:$A$300,0))&amp;""</f>
        <v>종목</v>
      </c>
      <c r="D239" s="19" t="str">
        <f>INDEX(메뉴구조!$D$5:$D$300,MATCH($A239,메뉴구조!$A$5:$A$300,0))&amp;""</f>
        <v>종목상세</v>
      </c>
      <c r="E239" s="19" t="str">
        <f>INDEX(메뉴구조!$E$5:$E$300,MATCH($A239,메뉴구조!$A$5:$A$300,0))&amp;""</f>
        <v>주문 (일반)&gt; 구매&gt; 구매희망가&gt; 구매주문</v>
      </c>
      <c r="F239" s="9" t="str">
        <f>INDEX(메뉴구조!$G$5:$G$300,MATCH($A239,메뉴구조!$A$5:$A$300,0))&amp;""</f>
        <v>거래 / 종목 / 종목상세 / 주문 (일반)&gt; 구매&gt; 구매희망가&gt; 구매주문</v>
      </c>
      <c r="G239" s="18">
        <v>2</v>
      </c>
      <c r="H239" s="9" t="s">
        <v>1084</v>
      </c>
      <c r="I239" s="9" t="s">
        <v>1085</v>
      </c>
      <c r="J239" s="9"/>
      <c r="K239" s="18" t="s">
        <v>17</v>
      </c>
      <c r="L239" s="9"/>
      <c r="M239" s="9"/>
    </row>
    <row r="240" spans="1:13" ht="37.5" hidden="1">
      <c r="A240" s="18" t="s">
        <v>211</v>
      </c>
      <c r="B240" s="19" t="str">
        <f>INDEX(메뉴구조!$B$5:$B$300,MATCH($A240,메뉴구조!$A$5:$A$300,0))&amp;""</f>
        <v>거래</v>
      </c>
      <c r="C240" s="19" t="str">
        <f>INDEX(메뉴구조!$C$5:$C$300,MATCH($A240,메뉴구조!$A$5:$A$300,0))&amp;""</f>
        <v>종목</v>
      </c>
      <c r="D240" s="19" t="str">
        <f>INDEX(메뉴구조!$D$5:$D$300,MATCH($A240,메뉴구조!$A$5:$A$300,0))&amp;""</f>
        <v>종목상세</v>
      </c>
      <c r="E240" s="19" t="str">
        <f>INDEX(메뉴구조!$E$5:$E$300,MATCH($A240,메뉴구조!$A$5:$A$300,0))&amp;""</f>
        <v>주문 (일반)&gt; 구매&gt; 구매희망가&gt; 구매주문</v>
      </c>
      <c r="F240" s="9" t="str">
        <f>INDEX(메뉴구조!$G$5:$G$300,MATCH($A240,메뉴구조!$A$5:$A$300,0))&amp;""</f>
        <v>거래 / 종목 / 종목상세 / 주문 (일반)&gt; 구매&gt; 구매희망가&gt; 구매주문</v>
      </c>
      <c r="G240" s="18">
        <v>3</v>
      </c>
      <c r="H240" s="31" t="s">
        <v>1086</v>
      </c>
      <c r="I240" s="31" t="s">
        <v>1087</v>
      </c>
      <c r="J240" s="9" t="s">
        <v>1088</v>
      </c>
      <c r="K240" s="20" t="s">
        <v>9</v>
      </c>
      <c r="L240" s="9" t="s">
        <v>938</v>
      </c>
      <c r="M240" s="9" t="s">
        <v>1089</v>
      </c>
    </row>
    <row r="241" spans="1:13" ht="25" hidden="1">
      <c r="A241" s="18" t="s">
        <v>215</v>
      </c>
      <c r="B241" s="19" t="str">
        <f>INDEX(메뉴구조!$B$5:$B$300,MATCH($A241,메뉴구조!$A$5:$A$300,0))&amp;""</f>
        <v>거래</v>
      </c>
      <c r="C241" s="19" t="str">
        <f>INDEX(메뉴구조!$C$5:$C$300,MATCH($A241,메뉴구조!$A$5:$A$300,0))&amp;""</f>
        <v>종목</v>
      </c>
      <c r="D241" s="19" t="str">
        <f>INDEX(메뉴구조!$D$5:$D$300,MATCH($A241,메뉴구조!$A$5:$A$300,0))&amp;""</f>
        <v>종목상세</v>
      </c>
      <c r="E241" s="19" t="str">
        <f>INDEX(메뉴구조!$E$5:$E$300,MATCH($A241,메뉴구조!$A$5:$A$300,0))&amp;""</f>
        <v>주문 (일반)&gt; 구매&gt; 구매희망가&gt; 주문완료</v>
      </c>
      <c r="F241" s="9" t="str">
        <f>INDEX(메뉴구조!$G$5:$G$300,MATCH($A241,메뉴구조!$A$5:$A$300,0))&amp;""</f>
        <v>거래 / 종목 / 종목상세 / 주문 (일반)&gt; 구매&gt; 구매희망가&gt; 주문완료</v>
      </c>
      <c r="G241" s="18">
        <v>1</v>
      </c>
      <c r="H241" s="9" t="s">
        <v>1090</v>
      </c>
      <c r="I241" s="9" t="s">
        <v>1091</v>
      </c>
      <c r="J241" s="9"/>
      <c r="K241" s="25" t="s">
        <v>13</v>
      </c>
      <c r="L241" s="9" t="s">
        <v>851</v>
      </c>
      <c r="M241" s="9"/>
    </row>
    <row r="242" spans="1:13" ht="37.5" hidden="1">
      <c r="A242" s="18" t="s">
        <v>215</v>
      </c>
      <c r="B242" s="19" t="str">
        <f>INDEX(메뉴구조!$B$5:$B$300,MATCH($A242,메뉴구조!$A$5:$A$300,0))&amp;""</f>
        <v>거래</v>
      </c>
      <c r="C242" s="19" t="str">
        <f>INDEX(메뉴구조!$C$5:$C$300,MATCH($A242,메뉴구조!$A$5:$A$300,0))&amp;""</f>
        <v>종목</v>
      </c>
      <c r="D242" s="19" t="str">
        <f>INDEX(메뉴구조!$D$5:$D$300,MATCH($A242,메뉴구조!$A$5:$A$300,0))&amp;""</f>
        <v>종목상세</v>
      </c>
      <c r="E242" s="19" t="str">
        <f>INDEX(메뉴구조!$E$5:$E$300,MATCH($A242,메뉴구조!$A$5:$A$300,0))&amp;""</f>
        <v>주문 (일반)&gt; 구매&gt; 구매희망가&gt; 주문완료</v>
      </c>
      <c r="F242" s="9" t="str">
        <f>INDEX(메뉴구조!$G$5:$G$300,MATCH($A242,메뉴구조!$A$5:$A$300,0))&amp;""</f>
        <v>거래 / 종목 / 종목상세 / 주문 (일반)&gt; 구매&gt; 구매희망가&gt; 주문완료</v>
      </c>
      <c r="G242" s="18">
        <v>2</v>
      </c>
      <c r="H242" s="9" t="s">
        <v>1092</v>
      </c>
      <c r="I242" s="9" t="s">
        <v>1093</v>
      </c>
      <c r="J242" s="9" t="s">
        <v>1094</v>
      </c>
      <c r="K242" s="25" t="s">
        <v>13</v>
      </c>
      <c r="L242" s="9" t="s">
        <v>851</v>
      </c>
      <c r="M242" s="9"/>
    </row>
    <row r="243" spans="1:13" ht="37.5" hidden="1">
      <c r="A243" s="18" t="s">
        <v>215</v>
      </c>
      <c r="B243" s="19" t="str">
        <f>INDEX(메뉴구조!$B$5:$B$300,MATCH($A243,메뉴구조!$A$5:$A$300,0))&amp;""</f>
        <v>거래</v>
      </c>
      <c r="C243" s="19" t="str">
        <f>INDEX(메뉴구조!$C$5:$C$300,MATCH($A243,메뉴구조!$A$5:$A$300,0))&amp;""</f>
        <v>종목</v>
      </c>
      <c r="D243" s="19" t="str">
        <f>INDEX(메뉴구조!$D$5:$D$300,MATCH($A243,메뉴구조!$A$5:$A$300,0))&amp;""</f>
        <v>종목상세</v>
      </c>
      <c r="E243" s="19" t="str">
        <f>INDEX(메뉴구조!$E$5:$E$300,MATCH($A243,메뉴구조!$A$5:$A$300,0))&amp;""</f>
        <v>주문 (일반)&gt; 구매&gt; 구매희망가&gt; 주문완료</v>
      </c>
      <c r="F243" s="9" t="str">
        <f>INDEX(메뉴구조!$G$5:$G$300,MATCH($A243,메뉴구조!$A$5:$A$300,0))&amp;""</f>
        <v>거래 / 종목 / 종목상세 / 주문 (일반)&gt; 구매&gt; 구매희망가&gt; 주문완료</v>
      </c>
      <c r="G243" s="18">
        <v>3</v>
      </c>
      <c r="H243" s="9" t="s">
        <v>1095</v>
      </c>
      <c r="I243" s="9" t="s">
        <v>1096</v>
      </c>
      <c r="J243" s="9"/>
      <c r="K243" s="25" t="s">
        <v>13</v>
      </c>
      <c r="L243" s="9" t="s">
        <v>851</v>
      </c>
      <c r="M243" s="9"/>
    </row>
    <row r="244" spans="1:13" ht="50" hidden="1">
      <c r="A244" s="18" t="s">
        <v>218</v>
      </c>
      <c r="B244" s="19" t="str">
        <f>INDEX(메뉴구조!$B$5:$B$300,MATCH($A244,메뉴구조!$A$5:$A$300,0))&amp;""</f>
        <v>거래</v>
      </c>
      <c r="C244" s="19" t="str">
        <f>INDEX(메뉴구조!$C$5:$C$300,MATCH($A244,메뉴구조!$A$5:$A$300,0))&amp;""</f>
        <v>종목</v>
      </c>
      <c r="D244" s="19" t="str">
        <f>INDEX(메뉴구조!$D$5:$D$300,MATCH($A244,메뉴구조!$A$5:$A$300,0))&amp;""</f>
        <v>종목상세</v>
      </c>
      <c r="E244" s="19" t="str">
        <f>INDEX(메뉴구조!$E$5:$E$300,MATCH($A244,메뉴구조!$A$5:$A$300,0))&amp;""</f>
        <v>주문 (일반)&gt; 구매&gt; AI매칭_수량입력(1&gt; 3)</v>
      </c>
      <c r="F244" s="9" t="str">
        <f>INDEX(메뉴구조!$G$5:$G$300,MATCH($A244,메뉴구조!$A$5:$A$300,0))&amp;""</f>
        <v>거래 / 종목 / 종목상세 / 주문 (일반)&gt; 구매&gt; AI매칭_수량입력(1&gt; 3)</v>
      </c>
      <c r="G244" s="18">
        <v>1</v>
      </c>
      <c r="H244" s="9" t="s">
        <v>1097</v>
      </c>
      <c r="I244" s="9" t="s">
        <v>1098</v>
      </c>
      <c r="J244" s="9" t="s">
        <v>1099</v>
      </c>
      <c r="K244" s="18" t="s">
        <v>17</v>
      </c>
      <c r="L244" s="9"/>
      <c r="M244" s="9"/>
    </row>
    <row r="245" spans="1:13" ht="25" hidden="1">
      <c r="A245" s="18" t="s">
        <v>218</v>
      </c>
      <c r="B245" s="19" t="str">
        <f>INDEX(메뉴구조!$B$5:$B$300,MATCH($A245,메뉴구조!$A$5:$A$300,0))&amp;""</f>
        <v>거래</v>
      </c>
      <c r="C245" s="19" t="str">
        <f>INDEX(메뉴구조!$C$5:$C$300,MATCH($A245,메뉴구조!$A$5:$A$300,0))&amp;""</f>
        <v>종목</v>
      </c>
      <c r="D245" s="19" t="str">
        <f>INDEX(메뉴구조!$D$5:$D$300,MATCH($A245,메뉴구조!$A$5:$A$300,0))&amp;""</f>
        <v>종목상세</v>
      </c>
      <c r="E245" s="19" t="str">
        <f>INDEX(메뉴구조!$E$5:$E$300,MATCH($A245,메뉴구조!$A$5:$A$300,0))&amp;""</f>
        <v>주문 (일반)&gt; 구매&gt; AI매칭_수량입력(1&gt; 3)</v>
      </c>
      <c r="F245" s="9" t="str">
        <f>INDEX(메뉴구조!$G$5:$G$300,MATCH($A245,메뉴구조!$A$5:$A$300,0))&amp;""</f>
        <v>거래 / 종목 / 종목상세 / 주문 (일반)&gt; 구매&gt; AI매칭_수량입력(1&gt; 3)</v>
      </c>
      <c r="G245" s="18">
        <v>2</v>
      </c>
      <c r="H245" s="9" t="s">
        <v>1100</v>
      </c>
      <c r="I245" s="9" t="s">
        <v>1101</v>
      </c>
      <c r="J245" s="9"/>
      <c r="K245" s="18" t="s">
        <v>17</v>
      </c>
      <c r="L245" s="9"/>
      <c r="M245" s="9"/>
    </row>
    <row r="246" spans="1:13" ht="25" hidden="1">
      <c r="A246" s="18" t="s">
        <v>218</v>
      </c>
      <c r="B246" s="19" t="str">
        <f>INDEX(메뉴구조!$B$5:$B$300,MATCH($A246,메뉴구조!$A$5:$A$300,0))&amp;""</f>
        <v>거래</v>
      </c>
      <c r="C246" s="19" t="str">
        <f>INDEX(메뉴구조!$C$5:$C$300,MATCH($A246,메뉴구조!$A$5:$A$300,0))&amp;""</f>
        <v>종목</v>
      </c>
      <c r="D246" s="19" t="str">
        <f>INDEX(메뉴구조!$D$5:$D$300,MATCH($A246,메뉴구조!$A$5:$A$300,0))&amp;""</f>
        <v>종목상세</v>
      </c>
      <c r="E246" s="19" t="str">
        <f>INDEX(메뉴구조!$E$5:$E$300,MATCH($A246,메뉴구조!$A$5:$A$300,0))&amp;""</f>
        <v>주문 (일반)&gt; 구매&gt; AI매칭_수량입력(1&gt; 3)</v>
      </c>
      <c r="F246" s="9" t="str">
        <f>INDEX(메뉴구조!$G$5:$G$300,MATCH($A246,메뉴구조!$A$5:$A$300,0))&amp;""</f>
        <v>거래 / 종목 / 종목상세 / 주문 (일반)&gt; 구매&gt; AI매칭_수량입력(1&gt; 3)</v>
      </c>
      <c r="G246" s="18">
        <v>3</v>
      </c>
      <c r="H246" s="9" t="s">
        <v>1068</v>
      </c>
      <c r="I246" s="9" t="s">
        <v>1102</v>
      </c>
      <c r="J246" s="9"/>
      <c r="K246" s="18" t="s">
        <v>17</v>
      </c>
      <c r="L246" s="9"/>
      <c r="M246" s="9"/>
    </row>
    <row r="247" spans="1:13" ht="50" hidden="1">
      <c r="A247" s="18" t="s">
        <v>218</v>
      </c>
      <c r="B247" s="19" t="str">
        <f>INDEX(메뉴구조!$B$5:$B$300,MATCH($A247,메뉴구조!$A$5:$A$300,0))&amp;""</f>
        <v>거래</v>
      </c>
      <c r="C247" s="19" t="str">
        <f>INDEX(메뉴구조!$C$5:$C$300,MATCH($A247,메뉴구조!$A$5:$A$300,0))&amp;""</f>
        <v>종목</v>
      </c>
      <c r="D247" s="19" t="str">
        <f>INDEX(메뉴구조!$D$5:$D$300,MATCH($A247,메뉴구조!$A$5:$A$300,0))&amp;""</f>
        <v>종목상세</v>
      </c>
      <c r="E247" s="19" t="str">
        <f>INDEX(메뉴구조!$E$5:$E$300,MATCH($A247,메뉴구조!$A$5:$A$300,0))&amp;""</f>
        <v>주문 (일반)&gt; 구매&gt; AI매칭_수량입력(1&gt; 3)</v>
      </c>
      <c r="F247" s="9" t="str">
        <f>INDEX(메뉴구조!$G$5:$G$300,MATCH($A247,메뉴구조!$A$5:$A$300,0))&amp;""</f>
        <v>거래 / 종목 / 종목상세 / 주문 (일반)&gt; 구매&gt; AI매칭_수량입력(1&gt; 3)</v>
      </c>
      <c r="G247" s="18">
        <v>4</v>
      </c>
      <c r="H247" s="32" t="s">
        <v>1103</v>
      </c>
      <c r="I247" s="32" t="s">
        <v>1104</v>
      </c>
      <c r="J247" s="32"/>
      <c r="K247" s="23" t="s">
        <v>7</v>
      </c>
      <c r="L247" s="9" t="s">
        <v>1105</v>
      </c>
      <c r="M247" s="9"/>
    </row>
    <row r="248" spans="1:13" ht="25" hidden="1">
      <c r="A248" s="18" t="s">
        <v>222</v>
      </c>
      <c r="B248" s="19" t="str">
        <f>INDEX(메뉴구조!$B$5:$B$300,MATCH($A248,메뉴구조!$A$5:$A$300,0))&amp;""</f>
        <v>거래</v>
      </c>
      <c r="C248" s="19" t="str">
        <f>INDEX(메뉴구조!$C$5:$C$300,MATCH($A248,메뉴구조!$A$5:$A$300,0))&amp;""</f>
        <v>종목</v>
      </c>
      <c r="D248" s="19" t="str">
        <f>INDEX(메뉴구조!$D$5:$D$300,MATCH($A248,메뉴구조!$A$5:$A$300,0))&amp;""</f>
        <v>종목상세</v>
      </c>
      <c r="E248" s="19" t="str">
        <f>INDEX(메뉴구조!$E$5:$E$300,MATCH($A248,메뉴구조!$A$5:$A$300,0))&amp;""</f>
        <v>주문 (일반)&gt; 구매&gt; AI매칭_수량입력(2&gt; 3)</v>
      </c>
      <c r="F248" s="9" t="str">
        <f>INDEX(메뉴구조!$G$5:$G$300,MATCH($A248,메뉴구조!$A$5:$A$300,0))&amp;""</f>
        <v>거래 / 종목 / 종목상세 / 주문 (일반)&gt; 구매&gt; AI매칭_수량입력(2&gt; 3)</v>
      </c>
      <c r="G248" s="18">
        <v>1</v>
      </c>
      <c r="H248" s="9" t="s">
        <v>1106</v>
      </c>
      <c r="I248" s="9" t="s">
        <v>1107</v>
      </c>
      <c r="J248" s="9"/>
      <c r="K248" s="18" t="s">
        <v>17</v>
      </c>
      <c r="L248" s="9"/>
      <c r="M248" s="9"/>
    </row>
    <row r="249" spans="1:13" ht="62.5" hidden="1">
      <c r="A249" s="18" t="s">
        <v>222</v>
      </c>
      <c r="B249" s="19" t="str">
        <f>INDEX(메뉴구조!$B$5:$B$300,MATCH($A249,메뉴구조!$A$5:$A$300,0))&amp;""</f>
        <v>거래</v>
      </c>
      <c r="C249" s="19" t="str">
        <f>INDEX(메뉴구조!$C$5:$C$300,MATCH($A249,메뉴구조!$A$5:$A$300,0))&amp;""</f>
        <v>종목</v>
      </c>
      <c r="D249" s="19" t="str">
        <f>INDEX(메뉴구조!$D$5:$D$300,MATCH($A249,메뉴구조!$A$5:$A$300,0))&amp;""</f>
        <v>종목상세</v>
      </c>
      <c r="E249" s="19" t="str">
        <f>INDEX(메뉴구조!$E$5:$E$300,MATCH($A249,메뉴구조!$A$5:$A$300,0))&amp;""</f>
        <v>주문 (일반)&gt; 구매&gt; AI매칭_수량입력(2&gt; 3)</v>
      </c>
      <c r="F249" s="9" t="str">
        <f>INDEX(메뉴구조!$G$5:$G$300,MATCH($A249,메뉴구조!$A$5:$A$300,0))&amp;""</f>
        <v>거래 / 종목 / 종목상세 / 주문 (일반)&gt; 구매&gt; AI매칭_수량입력(2&gt; 3)</v>
      </c>
      <c r="G249" s="18">
        <v>2</v>
      </c>
      <c r="H249" s="31" t="s">
        <v>1108</v>
      </c>
      <c r="I249" s="31" t="s">
        <v>1109</v>
      </c>
      <c r="J249" s="9"/>
      <c r="K249" s="20" t="s">
        <v>9</v>
      </c>
      <c r="L249" s="9" t="s">
        <v>1110</v>
      </c>
      <c r="M249" s="9" t="s">
        <v>1111</v>
      </c>
    </row>
    <row r="250" spans="1:13" ht="25" hidden="1">
      <c r="A250" s="18" t="s">
        <v>222</v>
      </c>
      <c r="B250" s="19" t="str">
        <f>INDEX(메뉴구조!$B$5:$B$300,MATCH($A250,메뉴구조!$A$5:$A$300,0))&amp;""</f>
        <v>거래</v>
      </c>
      <c r="C250" s="19" t="str">
        <f>INDEX(메뉴구조!$C$5:$C$300,MATCH($A250,메뉴구조!$A$5:$A$300,0))&amp;""</f>
        <v>종목</v>
      </c>
      <c r="D250" s="19" t="str">
        <f>INDEX(메뉴구조!$D$5:$D$300,MATCH($A250,메뉴구조!$A$5:$A$300,0))&amp;""</f>
        <v>종목상세</v>
      </c>
      <c r="E250" s="19" t="str">
        <f>INDEX(메뉴구조!$E$5:$E$300,MATCH($A250,메뉴구조!$A$5:$A$300,0))&amp;""</f>
        <v>주문 (일반)&gt; 구매&gt; AI매칭_수량입력(2&gt; 3)</v>
      </c>
      <c r="F250" s="9" t="str">
        <f>INDEX(메뉴구조!$G$5:$G$300,MATCH($A250,메뉴구조!$A$5:$A$300,0))&amp;""</f>
        <v>거래 / 종목 / 종목상세 / 주문 (일반)&gt; 구매&gt; AI매칭_수량입력(2&gt; 3)</v>
      </c>
      <c r="G250" s="18">
        <v>3</v>
      </c>
      <c r="H250" s="9" t="s">
        <v>1112</v>
      </c>
      <c r="I250" s="9" t="s">
        <v>1113</v>
      </c>
      <c r="J250" s="9"/>
      <c r="K250" s="18" t="s">
        <v>17</v>
      </c>
      <c r="L250" s="9"/>
      <c r="M250" s="9"/>
    </row>
    <row r="251" spans="1:13" ht="37.5" hidden="1">
      <c r="A251" s="18" t="s">
        <v>226</v>
      </c>
      <c r="B251" s="19" t="str">
        <f>INDEX(메뉴구조!$B$5:$B$300,MATCH($A251,메뉴구조!$A$5:$A$300,0))&amp;""</f>
        <v>거래</v>
      </c>
      <c r="C251" s="19" t="str">
        <f>INDEX(메뉴구조!$C$5:$C$300,MATCH($A251,메뉴구조!$A$5:$A$300,0))&amp;""</f>
        <v>종목</v>
      </c>
      <c r="D251" s="19" t="str">
        <f>INDEX(메뉴구조!$D$5:$D$300,MATCH($A251,메뉴구조!$A$5:$A$300,0))&amp;""</f>
        <v>종목상세</v>
      </c>
      <c r="E251" s="19" t="str">
        <f>INDEX(메뉴구조!$E$5:$E$300,MATCH($A251,메뉴구조!$A$5:$A$300,0))&amp;""</f>
        <v>주문 (일반)&gt; 구매&gt; AI매칭_수량입력(3&gt; 3)</v>
      </c>
      <c r="F251" s="9" t="str">
        <f>INDEX(메뉴구조!$G$5:$G$300,MATCH($A251,메뉴구조!$A$5:$A$300,0))&amp;""</f>
        <v>거래 / 종목 / 종목상세 / 주문 (일반)&gt; 구매&gt; AI매칭_수량입력(3&gt; 3)</v>
      </c>
      <c r="G251" s="18">
        <v>1</v>
      </c>
      <c r="H251" s="31" t="s">
        <v>1114</v>
      </c>
      <c r="I251" s="31" t="s">
        <v>1115</v>
      </c>
      <c r="J251" s="9"/>
      <c r="K251" s="20" t="s">
        <v>9</v>
      </c>
      <c r="L251" s="9" t="s">
        <v>1116</v>
      </c>
      <c r="M251" s="9" t="s">
        <v>1117</v>
      </c>
    </row>
    <row r="252" spans="1:13" ht="25" hidden="1">
      <c r="A252" s="18" t="s">
        <v>226</v>
      </c>
      <c r="B252" s="19" t="str">
        <f>INDEX(메뉴구조!$B$5:$B$300,MATCH($A252,메뉴구조!$A$5:$A$300,0))&amp;""</f>
        <v>거래</v>
      </c>
      <c r="C252" s="19" t="str">
        <f>INDEX(메뉴구조!$C$5:$C$300,MATCH($A252,메뉴구조!$A$5:$A$300,0))&amp;""</f>
        <v>종목</v>
      </c>
      <c r="D252" s="19" t="str">
        <f>INDEX(메뉴구조!$D$5:$D$300,MATCH($A252,메뉴구조!$A$5:$A$300,0))&amp;""</f>
        <v>종목상세</v>
      </c>
      <c r="E252" s="19" t="str">
        <f>INDEX(메뉴구조!$E$5:$E$300,MATCH($A252,메뉴구조!$A$5:$A$300,0))&amp;""</f>
        <v>주문 (일반)&gt; 구매&gt; AI매칭_수량입력(3&gt; 3)</v>
      </c>
      <c r="F252" s="9" t="str">
        <f>INDEX(메뉴구조!$G$5:$G$300,MATCH($A252,메뉴구조!$A$5:$A$300,0))&amp;""</f>
        <v>거래 / 종목 / 종목상세 / 주문 (일반)&gt; 구매&gt; AI매칭_수량입력(3&gt; 3)</v>
      </c>
      <c r="G252" s="18">
        <v>2</v>
      </c>
      <c r="H252" s="9" t="s">
        <v>1077</v>
      </c>
      <c r="I252" s="9" t="s">
        <v>1118</v>
      </c>
      <c r="J252" s="9"/>
      <c r="K252" s="18" t="s">
        <v>17</v>
      </c>
      <c r="L252" s="9"/>
      <c r="M252" s="9"/>
    </row>
    <row r="253" spans="1:13" ht="87.5" hidden="1">
      <c r="A253" s="18" t="s">
        <v>229</v>
      </c>
      <c r="B253" s="19" t="str">
        <f>INDEX(메뉴구조!$B$5:$B$300,MATCH($A253,메뉴구조!$A$5:$A$300,0))&amp;""</f>
        <v>거래</v>
      </c>
      <c r="C253" s="19" t="str">
        <f>INDEX(메뉴구조!$C$5:$C$300,MATCH($A253,메뉴구조!$A$5:$A$300,0))&amp;""</f>
        <v>종목</v>
      </c>
      <c r="D253" s="19" t="str">
        <f>INDEX(메뉴구조!$D$5:$D$300,MATCH($A253,메뉴구조!$A$5:$A$300,0))&amp;""</f>
        <v>종목상세</v>
      </c>
      <c r="E253" s="19" t="str">
        <f>INDEX(메뉴구조!$E$5:$E$300,MATCH($A253,메뉴구조!$A$5:$A$300,0))&amp;""</f>
        <v>주문 (일반)&gt; 구매&gt; AI매칭_매칭 가능 호가 없는 경우</v>
      </c>
      <c r="F253" s="9" t="str">
        <f>INDEX(메뉴구조!$G$5:$G$300,MATCH($A253,메뉴구조!$A$5:$A$300,0))&amp;""</f>
        <v>거래 / 종목 / 종목상세 / 주문 (일반)&gt; 구매&gt; AI매칭_매칭 가능 호가 없는 경우</v>
      </c>
      <c r="G253" s="18">
        <v>1</v>
      </c>
      <c r="H253" s="31" t="s">
        <v>1119</v>
      </c>
      <c r="I253" s="31" t="s">
        <v>1120</v>
      </c>
      <c r="J253" s="9" t="s">
        <v>1121</v>
      </c>
      <c r="K253" s="20" t="s">
        <v>9</v>
      </c>
      <c r="L253" s="9" t="s">
        <v>1122</v>
      </c>
      <c r="M253" s="9" t="s">
        <v>1123</v>
      </c>
    </row>
    <row r="254" spans="1:13" ht="25" hidden="1">
      <c r="A254" s="18" t="s">
        <v>229</v>
      </c>
      <c r="B254" s="19" t="str">
        <f>INDEX(메뉴구조!$B$5:$B$300,MATCH($A254,메뉴구조!$A$5:$A$300,0))&amp;""</f>
        <v>거래</v>
      </c>
      <c r="C254" s="19" t="str">
        <f>INDEX(메뉴구조!$C$5:$C$300,MATCH($A254,메뉴구조!$A$5:$A$300,0))&amp;""</f>
        <v>종목</v>
      </c>
      <c r="D254" s="19" t="str">
        <f>INDEX(메뉴구조!$D$5:$D$300,MATCH($A254,메뉴구조!$A$5:$A$300,0))&amp;""</f>
        <v>종목상세</v>
      </c>
      <c r="E254" s="19" t="str">
        <f>INDEX(메뉴구조!$E$5:$E$300,MATCH($A254,메뉴구조!$A$5:$A$300,0))&amp;""</f>
        <v>주문 (일반)&gt; 구매&gt; AI매칭_매칭 가능 호가 없는 경우</v>
      </c>
      <c r="F254" s="9" t="str">
        <f>INDEX(메뉴구조!$G$5:$G$300,MATCH($A254,메뉴구조!$A$5:$A$300,0))&amp;""</f>
        <v>거래 / 종목 / 종목상세 / 주문 (일반)&gt; 구매&gt; AI매칭_매칭 가능 호가 없는 경우</v>
      </c>
      <c r="G254" s="18">
        <v>2</v>
      </c>
      <c r="H254" s="9" t="s">
        <v>1124</v>
      </c>
      <c r="I254" s="9" t="s">
        <v>1125</v>
      </c>
      <c r="J254" s="9"/>
      <c r="K254" s="18" t="s">
        <v>17</v>
      </c>
      <c r="L254" s="9"/>
      <c r="M254" s="9"/>
    </row>
    <row r="255" spans="1:13" ht="62.5" hidden="1">
      <c r="A255" s="18" t="s">
        <v>232</v>
      </c>
      <c r="B255" s="19" t="str">
        <f>INDEX(메뉴구조!$B$5:$B$300,MATCH($A255,메뉴구조!$A$5:$A$300,0))&amp;""</f>
        <v>거래</v>
      </c>
      <c r="C255" s="19" t="str">
        <f>INDEX(메뉴구조!$C$5:$C$300,MATCH($A255,메뉴구조!$A$5:$A$300,0))&amp;""</f>
        <v>종목</v>
      </c>
      <c r="D255" s="19" t="str">
        <f>INDEX(메뉴구조!$D$5:$D$300,MATCH($A255,메뉴구조!$A$5:$A$300,0))&amp;""</f>
        <v>종목상세</v>
      </c>
      <c r="E255" s="19" t="str">
        <f>INDEX(메뉴구조!$E$5:$E$300,MATCH($A255,메뉴구조!$A$5:$A$300,0))&amp;""</f>
        <v>주문 (일반)&gt; 구매&gt; AI매칭_매칭 가능 호가 있는 경우</v>
      </c>
      <c r="F255" s="9" t="str">
        <f>INDEX(메뉴구조!$G$5:$G$300,MATCH($A255,메뉴구조!$A$5:$A$300,0))&amp;""</f>
        <v>거래 / 종목 / 종목상세 / 주문 (일반)&gt; 구매&gt; AI매칭_매칭 가능 호가 있는 경우</v>
      </c>
      <c r="G255" s="18">
        <v>1</v>
      </c>
      <c r="H255" s="31" t="s">
        <v>1126</v>
      </c>
      <c r="I255" s="31" t="s">
        <v>1127</v>
      </c>
      <c r="J255" s="9" t="s">
        <v>1128</v>
      </c>
      <c r="K255" s="20" t="s">
        <v>9</v>
      </c>
      <c r="L255" s="9" t="s">
        <v>1129</v>
      </c>
      <c r="M255" s="9" t="s">
        <v>1130</v>
      </c>
    </row>
    <row r="256" spans="1:13" ht="25" hidden="1">
      <c r="A256" s="18" t="s">
        <v>232</v>
      </c>
      <c r="B256" s="19" t="str">
        <f>INDEX(메뉴구조!$B$5:$B$300,MATCH($A256,메뉴구조!$A$5:$A$300,0))&amp;""</f>
        <v>거래</v>
      </c>
      <c r="C256" s="19" t="str">
        <f>INDEX(메뉴구조!$C$5:$C$300,MATCH($A256,메뉴구조!$A$5:$A$300,0))&amp;""</f>
        <v>종목</v>
      </c>
      <c r="D256" s="19" t="str">
        <f>INDEX(메뉴구조!$D$5:$D$300,MATCH($A256,메뉴구조!$A$5:$A$300,0))&amp;""</f>
        <v>종목상세</v>
      </c>
      <c r="E256" s="19" t="str">
        <f>INDEX(메뉴구조!$E$5:$E$300,MATCH($A256,메뉴구조!$A$5:$A$300,0))&amp;""</f>
        <v>주문 (일반)&gt; 구매&gt; AI매칭_매칭 가능 호가 있는 경우</v>
      </c>
      <c r="F256" s="9" t="str">
        <f>INDEX(메뉴구조!$G$5:$G$300,MATCH($A256,메뉴구조!$A$5:$A$300,0))&amp;""</f>
        <v>거래 / 종목 / 종목상세 / 주문 (일반)&gt; 구매&gt; AI매칭_매칭 가능 호가 있는 경우</v>
      </c>
      <c r="G256" s="18">
        <v>2</v>
      </c>
      <c r="H256" s="31" t="s">
        <v>1077</v>
      </c>
      <c r="I256" s="31" t="s">
        <v>1131</v>
      </c>
      <c r="J256" s="9"/>
      <c r="K256" s="20" t="s">
        <v>9</v>
      </c>
      <c r="L256" s="9" t="s">
        <v>938</v>
      </c>
      <c r="M256" s="9" t="s">
        <v>1132</v>
      </c>
    </row>
    <row r="257" spans="1:13" ht="25" hidden="1">
      <c r="A257" s="18" t="s">
        <v>235</v>
      </c>
      <c r="B257" s="19" t="str">
        <f>INDEX(메뉴구조!$B$5:$B$300,MATCH($A257,메뉴구조!$A$5:$A$300,0))&amp;""</f>
        <v>거래</v>
      </c>
      <c r="C257" s="19" t="str">
        <f>INDEX(메뉴구조!$C$5:$C$300,MATCH($A257,메뉴구조!$A$5:$A$300,0))&amp;""</f>
        <v>종목</v>
      </c>
      <c r="D257" s="19" t="str">
        <f>INDEX(메뉴구조!$D$5:$D$300,MATCH($A257,메뉴구조!$A$5:$A$300,0))&amp;""</f>
        <v>종목상세</v>
      </c>
      <c r="E257" s="19" t="str">
        <f>INDEX(메뉴구조!$E$5:$E$300,MATCH($A257,메뉴구조!$A$5:$A$300,0))&amp;""</f>
        <v>주문 (일반)&gt; 구매&gt; AI매칭&gt; 구매주문</v>
      </c>
      <c r="F257" s="9" t="str">
        <f>INDEX(메뉴구조!$G$5:$G$300,MATCH($A257,메뉴구조!$A$5:$A$300,0))&amp;""</f>
        <v>거래 / 종목 / 종목상세 / 주문 (일반)&gt; 구매&gt; AI매칭&gt; 구매주문</v>
      </c>
      <c r="G257" s="18">
        <v>1</v>
      </c>
      <c r="H257" s="31" t="s">
        <v>1133</v>
      </c>
      <c r="I257" s="31" t="s">
        <v>1134</v>
      </c>
      <c r="J257" s="9"/>
      <c r="K257" s="20" t="s">
        <v>9</v>
      </c>
      <c r="L257" s="9" t="s">
        <v>938</v>
      </c>
      <c r="M257" s="9" t="s">
        <v>1135</v>
      </c>
    </row>
    <row r="258" spans="1:13" ht="37.5" hidden="1">
      <c r="A258" s="18" t="s">
        <v>235</v>
      </c>
      <c r="B258" s="19" t="str">
        <f>INDEX(메뉴구조!$B$5:$B$300,MATCH($A258,메뉴구조!$A$5:$A$300,0))&amp;""</f>
        <v>거래</v>
      </c>
      <c r="C258" s="19" t="str">
        <f>INDEX(메뉴구조!$C$5:$C$300,MATCH($A258,메뉴구조!$A$5:$A$300,0))&amp;""</f>
        <v>종목</v>
      </c>
      <c r="D258" s="19" t="str">
        <f>INDEX(메뉴구조!$D$5:$D$300,MATCH($A258,메뉴구조!$A$5:$A$300,0))&amp;""</f>
        <v>종목상세</v>
      </c>
      <c r="E258" s="19" t="str">
        <f>INDEX(메뉴구조!$E$5:$E$300,MATCH($A258,메뉴구조!$A$5:$A$300,0))&amp;""</f>
        <v>주문 (일반)&gt; 구매&gt; AI매칭&gt; 구매주문</v>
      </c>
      <c r="F258" s="9" t="str">
        <f>INDEX(메뉴구조!$G$5:$G$300,MATCH($A258,메뉴구조!$A$5:$A$300,0))&amp;""</f>
        <v>거래 / 종목 / 종목상세 / 주문 (일반)&gt; 구매&gt; AI매칭&gt; 구매주문</v>
      </c>
      <c r="G258" s="18">
        <v>2</v>
      </c>
      <c r="H258" s="9" t="s">
        <v>1136</v>
      </c>
      <c r="I258" s="9" t="s">
        <v>1137</v>
      </c>
      <c r="J258" s="9" t="s">
        <v>1138</v>
      </c>
      <c r="K258" s="18" t="s">
        <v>17</v>
      </c>
      <c r="L258" s="9"/>
      <c r="M258" s="9"/>
    </row>
    <row r="259" spans="1:13" ht="37.5" hidden="1">
      <c r="A259" s="18" t="s">
        <v>235</v>
      </c>
      <c r="B259" s="19" t="str">
        <f>INDEX(메뉴구조!$B$5:$B$300,MATCH($A259,메뉴구조!$A$5:$A$300,0))&amp;""</f>
        <v>거래</v>
      </c>
      <c r="C259" s="19" t="str">
        <f>INDEX(메뉴구조!$C$5:$C$300,MATCH($A259,메뉴구조!$A$5:$A$300,0))&amp;""</f>
        <v>종목</v>
      </c>
      <c r="D259" s="19" t="str">
        <f>INDEX(메뉴구조!$D$5:$D$300,MATCH($A259,메뉴구조!$A$5:$A$300,0))&amp;""</f>
        <v>종목상세</v>
      </c>
      <c r="E259" s="19" t="str">
        <f>INDEX(메뉴구조!$E$5:$E$300,MATCH($A259,메뉴구조!$A$5:$A$300,0))&amp;""</f>
        <v>주문 (일반)&gt; 구매&gt; AI매칭&gt; 구매주문</v>
      </c>
      <c r="F259" s="9" t="str">
        <f>INDEX(메뉴구조!$G$5:$G$300,MATCH($A259,메뉴구조!$A$5:$A$300,0))&amp;""</f>
        <v>거래 / 종목 / 종목상세 / 주문 (일반)&gt; 구매&gt; AI매칭&gt; 구매주문</v>
      </c>
      <c r="G259" s="18">
        <v>3</v>
      </c>
      <c r="H259" s="9" t="s">
        <v>1139</v>
      </c>
      <c r="I259" s="9" t="s">
        <v>1140</v>
      </c>
      <c r="J259" s="9" t="s">
        <v>1141</v>
      </c>
      <c r="K259" s="18" t="s">
        <v>17</v>
      </c>
      <c r="L259" s="9"/>
      <c r="M259" s="9"/>
    </row>
    <row r="260" spans="1:13" ht="25" hidden="1">
      <c r="A260" s="18" t="s">
        <v>235</v>
      </c>
      <c r="B260" s="19" t="str">
        <f>INDEX(메뉴구조!$B$5:$B$300,MATCH($A260,메뉴구조!$A$5:$A$300,0))&amp;""</f>
        <v>거래</v>
      </c>
      <c r="C260" s="19" t="str">
        <f>INDEX(메뉴구조!$C$5:$C$300,MATCH($A260,메뉴구조!$A$5:$A$300,0))&amp;""</f>
        <v>종목</v>
      </c>
      <c r="D260" s="19" t="str">
        <f>INDEX(메뉴구조!$D$5:$D$300,MATCH($A260,메뉴구조!$A$5:$A$300,0))&amp;""</f>
        <v>종목상세</v>
      </c>
      <c r="E260" s="19" t="str">
        <f>INDEX(메뉴구조!$E$5:$E$300,MATCH($A260,메뉴구조!$A$5:$A$300,0))&amp;""</f>
        <v>주문 (일반)&gt; 구매&gt; AI매칭&gt; 구매주문</v>
      </c>
      <c r="F260" s="9" t="str">
        <f>INDEX(메뉴구조!$G$5:$G$300,MATCH($A260,메뉴구조!$A$5:$A$300,0))&amp;""</f>
        <v>거래 / 종목 / 종목상세 / 주문 (일반)&gt; 구매&gt; AI매칭&gt; 구매주문</v>
      </c>
      <c r="G260" s="18">
        <v>4</v>
      </c>
      <c r="H260" s="31" t="s">
        <v>1142</v>
      </c>
      <c r="I260" s="31" t="s">
        <v>1143</v>
      </c>
      <c r="J260" s="9"/>
      <c r="K260" s="20" t="s">
        <v>9</v>
      </c>
      <c r="L260" s="9" t="s">
        <v>938</v>
      </c>
      <c r="M260" s="9" t="s">
        <v>1144</v>
      </c>
    </row>
    <row r="261" spans="1:13" ht="25" hidden="1">
      <c r="A261" s="18" t="s">
        <v>238</v>
      </c>
      <c r="B261" s="19" t="str">
        <f>INDEX(메뉴구조!$B$5:$B$300,MATCH($A261,메뉴구조!$A$5:$A$300,0))&amp;""</f>
        <v>거래</v>
      </c>
      <c r="C261" s="19" t="str">
        <f>INDEX(메뉴구조!$C$5:$C$300,MATCH($A261,메뉴구조!$A$5:$A$300,0))&amp;""</f>
        <v>종목</v>
      </c>
      <c r="D261" s="19" t="str">
        <f>INDEX(메뉴구조!$D$5:$D$300,MATCH($A261,메뉴구조!$A$5:$A$300,0))&amp;""</f>
        <v>종목상세</v>
      </c>
      <c r="E261" s="19" t="str">
        <f>INDEX(메뉴구조!$E$5:$E$300,MATCH($A261,메뉴구조!$A$5:$A$300,0))&amp;""</f>
        <v>주문 (일반)&gt; 구매&gt; AI매칭&gt; 주문완료</v>
      </c>
      <c r="F261" s="9" t="str">
        <f>INDEX(메뉴구조!$G$5:$G$300,MATCH($A261,메뉴구조!$A$5:$A$300,0))&amp;""</f>
        <v>거래 / 종목 / 종목상세 / 주문 (일반)&gt; 구매&gt; AI매칭&gt; 주문완료</v>
      </c>
      <c r="G261" s="18">
        <v>1</v>
      </c>
      <c r="H261" s="9" t="s">
        <v>1145</v>
      </c>
      <c r="I261" s="9" t="s">
        <v>1146</v>
      </c>
      <c r="J261" s="9"/>
      <c r="K261" s="25" t="s">
        <v>13</v>
      </c>
      <c r="L261" s="9" t="s">
        <v>851</v>
      </c>
      <c r="M261" s="9"/>
    </row>
    <row r="262" spans="1:13" ht="25" hidden="1">
      <c r="A262" s="18" t="s">
        <v>238</v>
      </c>
      <c r="B262" s="19" t="str">
        <f>INDEX(메뉴구조!$B$5:$B$300,MATCH($A262,메뉴구조!$A$5:$A$300,0))&amp;""</f>
        <v>거래</v>
      </c>
      <c r="C262" s="19" t="str">
        <f>INDEX(메뉴구조!$C$5:$C$300,MATCH($A262,메뉴구조!$A$5:$A$300,0))&amp;""</f>
        <v>종목</v>
      </c>
      <c r="D262" s="19" t="str">
        <f>INDEX(메뉴구조!$D$5:$D$300,MATCH($A262,메뉴구조!$A$5:$A$300,0))&amp;""</f>
        <v>종목상세</v>
      </c>
      <c r="E262" s="19" t="str">
        <f>INDEX(메뉴구조!$E$5:$E$300,MATCH($A262,메뉴구조!$A$5:$A$300,0))&amp;""</f>
        <v>주문 (일반)&gt; 구매&gt; AI매칭&gt; 주문완료</v>
      </c>
      <c r="F262" s="9" t="str">
        <f>INDEX(메뉴구조!$G$5:$G$300,MATCH($A262,메뉴구조!$A$5:$A$300,0))&amp;""</f>
        <v>거래 / 종목 / 종목상세 / 주문 (일반)&gt; 구매&gt; AI매칭&gt; 주문완료</v>
      </c>
      <c r="G262" s="18">
        <v>2</v>
      </c>
      <c r="H262" s="31" t="s">
        <v>1147</v>
      </c>
      <c r="I262" s="31" t="s">
        <v>1148</v>
      </c>
      <c r="J262" s="9"/>
      <c r="K262" s="20" t="s">
        <v>9</v>
      </c>
      <c r="L262" s="9" t="s">
        <v>938</v>
      </c>
      <c r="M262" s="9" t="s">
        <v>1149</v>
      </c>
    </row>
    <row r="263" spans="1:13" ht="25" hidden="1">
      <c r="A263" s="18" t="s">
        <v>238</v>
      </c>
      <c r="B263" s="19" t="str">
        <f>INDEX(메뉴구조!$B$5:$B$300,MATCH($A263,메뉴구조!$A$5:$A$300,0))&amp;""</f>
        <v>거래</v>
      </c>
      <c r="C263" s="19" t="str">
        <f>INDEX(메뉴구조!$C$5:$C$300,MATCH($A263,메뉴구조!$A$5:$A$300,0))&amp;""</f>
        <v>종목</v>
      </c>
      <c r="D263" s="19" t="str">
        <f>INDEX(메뉴구조!$D$5:$D$300,MATCH($A263,메뉴구조!$A$5:$A$300,0))&amp;""</f>
        <v>종목상세</v>
      </c>
      <c r="E263" s="19" t="str">
        <f>INDEX(메뉴구조!$E$5:$E$300,MATCH($A263,메뉴구조!$A$5:$A$300,0))&amp;""</f>
        <v>주문 (일반)&gt; 구매&gt; AI매칭&gt; 주문완료</v>
      </c>
      <c r="F263" s="9" t="str">
        <f>INDEX(메뉴구조!$G$5:$G$300,MATCH($A263,메뉴구조!$A$5:$A$300,0))&amp;""</f>
        <v>거래 / 종목 / 종목상세 / 주문 (일반)&gt; 구매&gt; AI매칭&gt; 주문완료</v>
      </c>
      <c r="G263" s="18">
        <v>3</v>
      </c>
      <c r="H263" s="9" t="s">
        <v>1095</v>
      </c>
      <c r="I263" s="9" t="s">
        <v>1150</v>
      </c>
      <c r="J263" s="9"/>
      <c r="K263" s="25" t="s">
        <v>13</v>
      </c>
      <c r="L263" s="9" t="s">
        <v>851</v>
      </c>
      <c r="M263" s="9"/>
    </row>
    <row r="264" spans="1:13" ht="25" hidden="1">
      <c r="A264" s="18" t="s">
        <v>241</v>
      </c>
      <c r="B264" s="19" t="str">
        <f>INDEX(메뉴구조!$B$5:$B$300,MATCH($A264,메뉴구조!$A$5:$A$300,0))&amp;""</f>
        <v>거래</v>
      </c>
      <c r="C264" s="19" t="str">
        <f>INDEX(메뉴구조!$C$5:$C$300,MATCH($A264,메뉴구조!$A$5:$A$300,0))&amp;""</f>
        <v>종목</v>
      </c>
      <c r="D264" s="19" t="str">
        <f>INDEX(메뉴구조!$D$5:$D$300,MATCH($A264,메뉴구조!$A$5:$A$300,0))&amp;""</f>
        <v>종목상세</v>
      </c>
      <c r="E264" s="19" t="str">
        <f>INDEX(메뉴구조!$E$5:$E$300,MATCH($A264,메뉴구조!$A$5:$A$300,0))&amp;""</f>
        <v>주문 (일반)&gt; 판매&gt; 판매희망가</v>
      </c>
      <c r="F264" s="9" t="str">
        <f>INDEX(메뉴구조!$G$5:$G$300,MATCH($A264,메뉴구조!$A$5:$A$300,0))&amp;""</f>
        <v>거래 / 종목 / 종목상세 / 주문 (일반)&gt; 판매&gt; 판매희망가</v>
      </c>
      <c r="G264" s="18">
        <v>1</v>
      </c>
      <c r="H264" s="9" t="s">
        <v>1151</v>
      </c>
      <c r="I264" s="9" t="s">
        <v>1152</v>
      </c>
      <c r="J264" s="9"/>
      <c r="K264" s="25" t="s">
        <v>13</v>
      </c>
      <c r="L264" s="9" t="s">
        <v>851</v>
      </c>
      <c r="M264" s="9"/>
    </row>
    <row r="265" spans="1:13" ht="25" hidden="1">
      <c r="A265" s="18" t="s">
        <v>241</v>
      </c>
      <c r="B265" s="19" t="str">
        <f>INDEX(메뉴구조!$B$5:$B$300,MATCH($A265,메뉴구조!$A$5:$A$300,0))&amp;""</f>
        <v>거래</v>
      </c>
      <c r="C265" s="19" t="str">
        <f>INDEX(메뉴구조!$C$5:$C$300,MATCH($A265,메뉴구조!$A$5:$A$300,0))&amp;""</f>
        <v>종목</v>
      </c>
      <c r="D265" s="19" t="str">
        <f>INDEX(메뉴구조!$D$5:$D$300,MATCH($A265,메뉴구조!$A$5:$A$300,0))&amp;""</f>
        <v>종목상세</v>
      </c>
      <c r="E265" s="19" t="str">
        <f>INDEX(메뉴구조!$E$5:$E$300,MATCH($A265,메뉴구조!$A$5:$A$300,0))&amp;""</f>
        <v>주문 (일반)&gt; 판매&gt; 판매희망가</v>
      </c>
      <c r="F265" s="9" t="str">
        <f>INDEX(메뉴구조!$G$5:$G$300,MATCH($A265,메뉴구조!$A$5:$A$300,0))&amp;""</f>
        <v>거래 / 종목 / 종목상세 / 주문 (일반)&gt; 판매&gt; 판매희망가</v>
      </c>
      <c r="G265" s="18">
        <v>2</v>
      </c>
      <c r="H265" s="9" t="s">
        <v>1153</v>
      </c>
      <c r="I265" s="9" t="s">
        <v>1154</v>
      </c>
      <c r="J265" s="9" t="s">
        <v>1155</v>
      </c>
      <c r="K265" s="25" t="s">
        <v>13</v>
      </c>
      <c r="L265" s="9" t="s">
        <v>851</v>
      </c>
      <c r="M265" s="9"/>
    </row>
    <row r="266" spans="1:13" ht="25" hidden="1">
      <c r="A266" s="18" t="s">
        <v>241</v>
      </c>
      <c r="B266" s="19" t="str">
        <f>INDEX(메뉴구조!$B$5:$B$300,MATCH($A266,메뉴구조!$A$5:$A$300,0))&amp;""</f>
        <v>거래</v>
      </c>
      <c r="C266" s="19" t="str">
        <f>INDEX(메뉴구조!$C$5:$C$300,MATCH($A266,메뉴구조!$A$5:$A$300,0))&amp;""</f>
        <v>종목</v>
      </c>
      <c r="D266" s="19" t="str">
        <f>INDEX(메뉴구조!$D$5:$D$300,MATCH($A266,메뉴구조!$A$5:$A$300,0))&amp;""</f>
        <v>종목상세</v>
      </c>
      <c r="E266" s="19" t="str">
        <f>INDEX(메뉴구조!$E$5:$E$300,MATCH($A266,메뉴구조!$A$5:$A$300,0))&amp;""</f>
        <v>주문 (일반)&gt; 판매&gt; 판매희망가</v>
      </c>
      <c r="F266" s="9" t="str">
        <f>INDEX(메뉴구조!$G$5:$G$300,MATCH($A266,메뉴구조!$A$5:$A$300,0))&amp;""</f>
        <v>거래 / 종목 / 종목상세 / 주문 (일반)&gt; 판매&gt; 판매희망가</v>
      </c>
      <c r="G266" s="18">
        <v>3</v>
      </c>
      <c r="H266" s="9" t="s">
        <v>1156</v>
      </c>
      <c r="I266" s="9" t="s">
        <v>1157</v>
      </c>
      <c r="J266" s="9"/>
      <c r="K266" s="25" t="s">
        <v>13</v>
      </c>
      <c r="L266" s="9" t="s">
        <v>851</v>
      </c>
      <c r="M266" s="9"/>
    </row>
    <row r="267" spans="1:13" ht="25" hidden="1">
      <c r="A267" s="18" t="s">
        <v>241</v>
      </c>
      <c r="B267" s="19" t="str">
        <f>INDEX(메뉴구조!$B$5:$B$300,MATCH($A267,메뉴구조!$A$5:$A$300,0))&amp;""</f>
        <v>거래</v>
      </c>
      <c r="C267" s="19" t="str">
        <f>INDEX(메뉴구조!$C$5:$C$300,MATCH($A267,메뉴구조!$A$5:$A$300,0))&amp;""</f>
        <v>종목</v>
      </c>
      <c r="D267" s="19" t="str">
        <f>INDEX(메뉴구조!$D$5:$D$300,MATCH($A267,메뉴구조!$A$5:$A$300,0))&amp;""</f>
        <v>종목상세</v>
      </c>
      <c r="E267" s="19" t="str">
        <f>INDEX(메뉴구조!$E$5:$E$300,MATCH($A267,메뉴구조!$A$5:$A$300,0))&amp;""</f>
        <v>주문 (일반)&gt; 판매&gt; 판매희망가</v>
      </c>
      <c r="F267" s="9" t="str">
        <f>INDEX(메뉴구조!$G$5:$G$300,MATCH($A267,메뉴구조!$A$5:$A$300,0))&amp;""</f>
        <v>거래 / 종목 / 종목상세 / 주문 (일반)&gt; 판매&gt; 판매희망가</v>
      </c>
      <c r="G267" s="18">
        <v>4</v>
      </c>
      <c r="H267" s="9" t="s">
        <v>1158</v>
      </c>
      <c r="I267" s="9" t="s">
        <v>1159</v>
      </c>
      <c r="J267" s="9"/>
      <c r="K267" s="25" t="s">
        <v>13</v>
      </c>
      <c r="L267" s="9" t="s">
        <v>851</v>
      </c>
      <c r="M267" s="9"/>
    </row>
    <row r="268" spans="1:13" ht="25" hidden="1">
      <c r="A268" s="18" t="s">
        <v>244</v>
      </c>
      <c r="B268" s="19" t="str">
        <f>INDEX(메뉴구조!$B$5:$B$300,MATCH($A268,메뉴구조!$A$5:$A$300,0))&amp;""</f>
        <v>거래</v>
      </c>
      <c r="C268" s="19" t="str">
        <f>INDEX(메뉴구조!$C$5:$C$300,MATCH($A268,메뉴구조!$A$5:$A$300,0))&amp;""</f>
        <v>종목</v>
      </c>
      <c r="D268" s="19" t="str">
        <f>INDEX(메뉴구조!$D$5:$D$300,MATCH($A268,메뉴구조!$A$5:$A$300,0))&amp;""</f>
        <v>종목상세</v>
      </c>
      <c r="E268" s="19" t="str">
        <f>INDEX(메뉴구조!$E$5:$E$300,MATCH($A268,메뉴구조!$A$5:$A$300,0))&amp;""</f>
        <v>주문 (일반)&gt; 판매&gt; AI매칭</v>
      </c>
      <c r="F268" s="9" t="str">
        <f>INDEX(메뉴구조!$G$5:$G$300,MATCH($A268,메뉴구조!$A$5:$A$300,0))&amp;""</f>
        <v>거래 / 종목 / 종목상세 / 주문 (일반)&gt; 판매&gt; AI매칭</v>
      </c>
      <c r="G268" s="18">
        <v>1</v>
      </c>
      <c r="H268" s="9" t="s">
        <v>1160</v>
      </c>
      <c r="I268" s="9" t="s">
        <v>1161</v>
      </c>
      <c r="J268" s="9" t="s">
        <v>1162</v>
      </c>
      <c r="K268" s="18" t="s">
        <v>17</v>
      </c>
      <c r="L268" s="9"/>
      <c r="M268" s="9"/>
    </row>
    <row r="269" spans="1:13" hidden="1">
      <c r="A269" s="18" t="s">
        <v>244</v>
      </c>
      <c r="B269" s="19" t="str">
        <f>INDEX(메뉴구조!$B$5:$B$300,MATCH($A269,메뉴구조!$A$5:$A$300,0))&amp;""</f>
        <v>거래</v>
      </c>
      <c r="C269" s="19" t="str">
        <f>INDEX(메뉴구조!$C$5:$C$300,MATCH($A269,메뉴구조!$A$5:$A$300,0))&amp;""</f>
        <v>종목</v>
      </c>
      <c r="D269" s="19" t="str">
        <f>INDEX(메뉴구조!$D$5:$D$300,MATCH($A269,메뉴구조!$A$5:$A$300,0))&amp;""</f>
        <v>종목상세</v>
      </c>
      <c r="E269" s="19" t="str">
        <f>INDEX(메뉴구조!$E$5:$E$300,MATCH($A269,메뉴구조!$A$5:$A$300,0))&amp;""</f>
        <v>주문 (일반)&gt; 판매&gt; AI매칭</v>
      </c>
      <c r="F269" s="9" t="str">
        <f>INDEX(메뉴구조!$G$5:$G$300,MATCH($A269,메뉴구조!$A$5:$A$300,0))&amp;""</f>
        <v>거래 / 종목 / 종목상세 / 주문 (일반)&gt; 판매&gt; AI매칭</v>
      </c>
      <c r="G269" s="18">
        <v>2</v>
      </c>
      <c r="H269" s="9" t="s">
        <v>1163</v>
      </c>
      <c r="I269" s="9" t="s">
        <v>1164</v>
      </c>
      <c r="J269" s="9"/>
      <c r="K269" s="18" t="s">
        <v>17</v>
      </c>
      <c r="L269" s="9"/>
      <c r="M269" s="9"/>
    </row>
    <row r="270" spans="1:13" hidden="1">
      <c r="A270" s="18" t="s">
        <v>244</v>
      </c>
      <c r="B270" s="19" t="str">
        <f>INDEX(메뉴구조!$B$5:$B$300,MATCH($A270,메뉴구조!$A$5:$A$300,0))&amp;""</f>
        <v>거래</v>
      </c>
      <c r="C270" s="19" t="str">
        <f>INDEX(메뉴구조!$C$5:$C$300,MATCH($A270,메뉴구조!$A$5:$A$300,0))&amp;""</f>
        <v>종목</v>
      </c>
      <c r="D270" s="19" t="str">
        <f>INDEX(메뉴구조!$D$5:$D$300,MATCH($A270,메뉴구조!$A$5:$A$300,0))&amp;""</f>
        <v>종목상세</v>
      </c>
      <c r="E270" s="19" t="str">
        <f>INDEX(메뉴구조!$E$5:$E$300,MATCH($A270,메뉴구조!$A$5:$A$300,0))&amp;""</f>
        <v>주문 (일반)&gt; 판매&gt; AI매칭</v>
      </c>
      <c r="F270" s="9" t="str">
        <f>INDEX(메뉴구조!$G$5:$G$300,MATCH($A270,메뉴구조!$A$5:$A$300,0))&amp;""</f>
        <v>거래 / 종목 / 종목상세 / 주문 (일반)&gt; 판매&gt; AI매칭</v>
      </c>
      <c r="G270" s="18">
        <v>3</v>
      </c>
      <c r="H270" s="9" t="s">
        <v>1158</v>
      </c>
      <c r="I270" s="9" t="s">
        <v>1165</v>
      </c>
      <c r="J270" s="9"/>
      <c r="K270" s="18" t="s">
        <v>17</v>
      </c>
      <c r="L270" s="9"/>
      <c r="M270" s="9"/>
    </row>
    <row r="271" spans="1:13" ht="50" hidden="1">
      <c r="A271" s="18" t="s">
        <v>244</v>
      </c>
      <c r="B271" s="19" t="str">
        <f>INDEX(메뉴구조!$B$5:$B$300,MATCH($A271,메뉴구조!$A$5:$A$300,0))&amp;""</f>
        <v>거래</v>
      </c>
      <c r="C271" s="19" t="str">
        <f>INDEX(메뉴구조!$C$5:$C$300,MATCH($A271,메뉴구조!$A$5:$A$300,0))&amp;""</f>
        <v>종목</v>
      </c>
      <c r="D271" s="19" t="str">
        <f>INDEX(메뉴구조!$D$5:$D$300,MATCH($A271,메뉴구조!$A$5:$A$300,0))&amp;""</f>
        <v>종목상세</v>
      </c>
      <c r="E271" s="19" t="str">
        <f>INDEX(메뉴구조!$E$5:$E$300,MATCH($A271,메뉴구조!$A$5:$A$300,0))&amp;""</f>
        <v>주문 (일반)&gt; 판매&gt; AI매칭</v>
      </c>
      <c r="F271" s="9" t="str">
        <f>INDEX(메뉴구조!$G$5:$G$300,MATCH($A271,메뉴구조!$A$5:$A$300,0))&amp;""</f>
        <v>거래 / 종목 / 종목상세 / 주문 (일반)&gt; 판매&gt; AI매칭</v>
      </c>
      <c r="G271" s="18">
        <v>4</v>
      </c>
      <c r="H271" s="32" t="s">
        <v>1103</v>
      </c>
      <c r="I271" s="32" t="s">
        <v>1104</v>
      </c>
      <c r="J271" s="32"/>
      <c r="K271" s="23" t="s">
        <v>7</v>
      </c>
      <c r="L271" s="9" t="s">
        <v>1105</v>
      </c>
      <c r="M271" s="9"/>
    </row>
    <row r="272" spans="1:13" ht="25" hidden="1">
      <c r="A272" s="18" t="s">
        <v>247</v>
      </c>
      <c r="B272" s="19" t="str">
        <f>INDEX(메뉴구조!$B$5:$B$300,MATCH($A272,메뉴구조!$A$5:$A$300,0))&amp;""</f>
        <v>거래</v>
      </c>
      <c r="C272" s="19" t="str">
        <f>INDEX(메뉴구조!$C$5:$C$300,MATCH($A272,메뉴구조!$A$5:$A$300,0))&amp;""</f>
        <v>종목</v>
      </c>
      <c r="D272" s="19" t="str">
        <f>INDEX(메뉴구조!$D$5:$D$300,MATCH($A272,메뉴구조!$A$5:$A$300,0))&amp;""</f>
        <v>종목상세</v>
      </c>
      <c r="E272" s="19" t="str">
        <f>INDEX(메뉴구조!$E$5:$E$300,MATCH($A272,메뉴구조!$A$5:$A$300,0))&amp;""</f>
        <v>주문 (일반)&gt; 판매&gt; 판매희망가(1&gt; 3)</v>
      </c>
      <c r="F272" s="9" t="str">
        <f>INDEX(메뉴구조!$G$5:$G$300,MATCH($A272,메뉴구조!$A$5:$A$300,0))&amp;""</f>
        <v>거래 / 종목 / 종목상세 / 주문 (일반)&gt; 판매&gt; 판매희망가(1&gt; 3)</v>
      </c>
      <c r="G272" s="18">
        <v>1</v>
      </c>
      <c r="H272" s="9" t="s">
        <v>1166</v>
      </c>
      <c r="I272" s="9" t="s">
        <v>1167</v>
      </c>
      <c r="J272" s="9"/>
      <c r="K272" s="25" t="s">
        <v>13</v>
      </c>
      <c r="L272" s="9" t="s">
        <v>851</v>
      </c>
      <c r="M272" s="9"/>
    </row>
    <row r="273" spans="1:13" ht="25" hidden="1">
      <c r="A273" s="18" t="s">
        <v>247</v>
      </c>
      <c r="B273" s="19" t="str">
        <f>INDEX(메뉴구조!$B$5:$B$300,MATCH($A273,메뉴구조!$A$5:$A$300,0))&amp;""</f>
        <v>거래</v>
      </c>
      <c r="C273" s="19" t="str">
        <f>INDEX(메뉴구조!$C$5:$C$300,MATCH($A273,메뉴구조!$A$5:$A$300,0))&amp;""</f>
        <v>종목</v>
      </c>
      <c r="D273" s="19" t="str">
        <f>INDEX(메뉴구조!$D$5:$D$300,MATCH($A273,메뉴구조!$A$5:$A$300,0))&amp;""</f>
        <v>종목상세</v>
      </c>
      <c r="E273" s="19" t="str">
        <f>INDEX(메뉴구조!$E$5:$E$300,MATCH($A273,메뉴구조!$A$5:$A$300,0))&amp;""</f>
        <v>주문 (일반)&gt; 판매&gt; 판매희망가(1&gt; 3)</v>
      </c>
      <c r="F273" s="9" t="str">
        <f>INDEX(메뉴구조!$G$5:$G$300,MATCH($A273,메뉴구조!$A$5:$A$300,0))&amp;""</f>
        <v>거래 / 종목 / 종목상세 / 주문 (일반)&gt; 판매&gt; 판매희망가(1&gt; 3)</v>
      </c>
      <c r="G273" s="18">
        <v>2</v>
      </c>
      <c r="H273" s="9" t="s">
        <v>1065</v>
      </c>
      <c r="I273" s="9" t="s">
        <v>1168</v>
      </c>
      <c r="J273" s="9" t="s">
        <v>1169</v>
      </c>
      <c r="K273" s="25" t="s">
        <v>13</v>
      </c>
      <c r="L273" s="9" t="s">
        <v>851</v>
      </c>
      <c r="M273" s="9"/>
    </row>
    <row r="274" spans="1:13" ht="25" hidden="1">
      <c r="A274" s="18" t="s">
        <v>247</v>
      </c>
      <c r="B274" s="19" t="str">
        <f>INDEX(메뉴구조!$B$5:$B$300,MATCH($A274,메뉴구조!$A$5:$A$300,0))&amp;""</f>
        <v>거래</v>
      </c>
      <c r="C274" s="19" t="str">
        <f>INDEX(메뉴구조!$C$5:$C$300,MATCH($A274,메뉴구조!$A$5:$A$300,0))&amp;""</f>
        <v>종목</v>
      </c>
      <c r="D274" s="19" t="str">
        <f>INDEX(메뉴구조!$D$5:$D$300,MATCH($A274,메뉴구조!$A$5:$A$300,0))&amp;""</f>
        <v>종목상세</v>
      </c>
      <c r="E274" s="19" t="str">
        <f>INDEX(메뉴구조!$E$5:$E$300,MATCH($A274,메뉴구조!$A$5:$A$300,0))&amp;""</f>
        <v>주문 (일반)&gt; 판매&gt; 판매희망가(1&gt; 3)</v>
      </c>
      <c r="F274" s="9" t="str">
        <f>INDEX(메뉴구조!$G$5:$G$300,MATCH($A274,메뉴구조!$A$5:$A$300,0))&amp;""</f>
        <v>거래 / 종목 / 종목상세 / 주문 (일반)&gt; 판매&gt; 판매희망가(1&gt; 3)</v>
      </c>
      <c r="G274" s="18">
        <v>3</v>
      </c>
      <c r="H274" s="9" t="s">
        <v>1068</v>
      </c>
      <c r="I274" s="9" t="s">
        <v>1170</v>
      </c>
      <c r="J274" s="9"/>
      <c r="K274" s="25" t="s">
        <v>13</v>
      </c>
      <c r="L274" s="9" t="s">
        <v>851</v>
      </c>
      <c r="M274" s="9"/>
    </row>
    <row r="275" spans="1:13" ht="25" hidden="1">
      <c r="A275" s="18" t="s">
        <v>250</v>
      </c>
      <c r="B275" s="19" t="str">
        <f>INDEX(메뉴구조!$B$5:$B$300,MATCH($A275,메뉴구조!$A$5:$A$300,0))&amp;""</f>
        <v>거래</v>
      </c>
      <c r="C275" s="19" t="str">
        <f>INDEX(메뉴구조!$C$5:$C$300,MATCH($A275,메뉴구조!$A$5:$A$300,0))&amp;""</f>
        <v>종목</v>
      </c>
      <c r="D275" s="19" t="str">
        <f>INDEX(메뉴구조!$D$5:$D$300,MATCH($A275,메뉴구조!$A$5:$A$300,0))&amp;""</f>
        <v>종목상세</v>
      </c>
      <c r="E275" s="19" t="str">
        <f>INDEX(메뉴구조!$E$5:$E$300,MATCH($A275,메뉴구조!$A$5:$A$300,0))&amp;""</f>
        <v>주문 (일반)&gt; 판매&gt; 판매희망가(2&gt; 3)</v>
      </c>
      <c r="F275" s="9" t="str">
        <f>INDEX(메뉴구조!$G$5:$G$300,MATCH($A275,메뉴구조!$A$5:$A$300,0))&amp;""</f>
        <v>거래 / 종목 / 종목상세 / 주문 (일반)&gt; 판매&gt; 판매희망가(2&gt; 3)</v>
      </c>
      <c r="G275" s="18">
        <v>1</v>
      </c>
      <c r="H275" s="9" t="s">
        <v>1070</v>
      </c>
      <c r="I275" s="9" t="s">
        <v>1171</v>
      </c>
      <c r="J275" s="9"/>
      <c r="K275" s="25" t="s">
        <v>13</v>
      </c>
      <c r="L275" s="9" t="s">
        <v>851</v>
      </c>
      <c r="M275" s="9"/>
    </row>
    <row r="276" spans="1:13" ht="25" hidden="1">
      <c r="A276" s="18" t="s">
        <v>250</v>
      </c>
      <c r="B276" s="19" t="str">
        <f>INDEX(메뉴구조!$B$5:$B$300,MATCH($A276,메뉴구조!$A$5:$A$300,0))&amp;""</f>
        <v>거래</v>
      </c>
      <c r="C276" s="19" t="str">
        <f>INDEX(메뉴구조!$C$5:$C$300,MATCH($A276,메뉴구조!$A$5:$A$300,0))&amp;""</f>
        <v>종목</v>
      </c>
      <c r="D276" s="19" t="str">
        <f>INDEX(메뉴구조!$D$5:$D$300,MATCH($A276,메뉴구조!$A$5:$A$300,0))&amp;""</f>
        <v>종목상세</v>
      </c>
      <c r="E276" s="19" t="str">
        <f>INDEX(메뉴구조!$E$5:$E$300,MATCH($A276,메뉴구조!$A$5:$A$300,0))&amp;""</f>
        <v>주문 (일반)&gt; 판매&gt; 판매희망가(2&gt; 3)</v>
      </c>
      <c r="F276" s="9" t="str">
        <f>INDEX(메뉴구조!$G$5:$G$300,MATCH($A276,메뉴구조!$A$5:$A$300,0))&amp;""</f>
        <v>거래 / 종목 / 종목상세 / 주문 (일반)&gt; 판매&gt; 판매희망가(2&gt; 3)</v>
      </c>
      <c r="G276" s="18">
        <v>2</v>
      </c>
      <c r="H276" s="9" t="s">
        <v>1072</v>
      </c>
      <c r="I276" s="9" t="s">
        <v>1172</v>
      </c>
      <c r="J276" s="9"/>
      <c r="K276" s="25" t="s">
        <v>13</v>
      </c>
      <c r="L276" s="9" t="s">
        <v>851</v>
      </c>
      <c r="M276" s="9"/>
    </row>
    <row r="277" spans="1:13" ht="25" hidden="1">
      <c r="A277" s="18" t="s">
        <v>250</v>
      </c>
      <c r="B277" s="19" t="str">
        <f>INDEX(메뉴구조!$B$5:$B$300,MATCH($A277,메뉴구조!$A$5:$A$300,0))&amp;""</f>
        <v>거래</v>
      </c>
      <c r="C277" s="19" t="str">
        <f>INDEX(메뉴구조!$C$5:$C$300,MATCH($A277,메뉴구조!$A$5:$A$300,0))&amp;""</f>
        <v>종목</v>
      </c>
      <c r="D277" s="19" t="str">
        <f>INDEX(메뉴구조!$D$5:$D$300,MATCH($A277,메뉴구조!$A$5:$A$300,0))&amp;""</f>
        <v>종목상세</v>
      </c>
      <c r="E277" s="19" t="str">
        <f>INDEX(메뉴구조!$E$5:$E$300,MATCH($A277,메뉴구조!$A$5:$A$300,0))&amp;""</f>
        <v>주문 (일반)&gt; 판매&gt; 판매희망가(2&gt; 3)</v>
      </c>
      <c r="F277" s="9" t="str">
        <f>INDEX(메뉴구조!$G$5:$G$300,MATCH($A277,메뉴구조!$A$5:$A$300,0))&amp;""</f>
        <v>거래 / 종목 / 종목상세 / 주문 (일반)&gt; 판매&gt; 판매희망가(2&gt; 3)</v>
      </c>
      <c r="G277" s="18">
        <v>3</v>
      </c>
      <c r="H277" s="9" t="s">
        <v>1068</v>
      </c>
      <c r="I277" s="9" t="s">
        <v>1173</v>
      </c>
      <c r="J277" s="9"/>
      <c r="K277" s="25" t="s">
        <v>13</v>
      </c>
      <c r="L277" s="9" t="s">
        <v>851</v>
      </c>
      <c r="M277" s="9"/>
    </row>
    <row r="278" spans="1:13" ht="25" hidden="1">
      <c r="A278" s="18" t="s">
        <v>253</v>
      </c>
      <c r="B278" s="19" t="str">
        <f>INDEX(메뉴구조!$B$5:$B$300,MATCH($A278,메뉴구조!$A$5:$A$300,0))&amp;""</f>
        <v>거래</v>
      </c>
      <c r="C278" s="19" t="str">
        <f>INDEX(메뉴구조!$C$5:$C$300,MATCH($A278,메뉴구조!$A$5:$A$300,0))&amp;""</f>
        <v>종목</v>
      </c>
      <c r="D278" s="19" t="str">
        <f>INDEX(메뉴구조!$D$5:$D$300,MATCH($A278,메뉴구조!$A$5:$A$300,0))&amp;""</f>
        <v>종목상세</v>
      </c>
      <c r="E278" s="19" t="str">
        <f>INDEX(메뉴구조!$E$5:$E$300,MATCH($A278,메뉴구조!$A$5:$A$300,0))&amp;""</f>
        <v>주문 (일반)&gt; 판매&gt; 판매희망가(3&gt; 3)</v>
      </c>
      <c r="F278" s="9" t="str">
        <f>INDEX(메뉴구조!$G$5:$G$300,MATCH($A278,메뉴구조!$A$5:$A$300,0))&amp;""</f>
        <v>거래 / 종목 / 종목상세 / 주문 (일반)&gt; 판매&gt; 판매희망가(3&gt; 3)</v>
      </c>
      <c r="G278" s="18">
        <v>1</v>
      </c>
      <c r="H278" s="9" t="s">
        <v>1075</v>
      </c>
      <c r="I278" s="9" t="s">
        <v>1174</v>
      </c>
      <c r="J278" s="9"/>
      <c r="K278" s="25" t="s">
        <v>13</v>
      </c>
      <c r="L278" s="9" t="s">
        <v>851</v>
      </c>
      <c r="M278" s="9"/>
    </row>
    <row r="279" spans="1:13" ht="25" hidden="1">
      <c r="A279" s="18" t="s">
        <v>253</v>
      </c>
      <c r="B279" s="19" t="str">
        <f>INDEX(메뉴구조!$B$5:$B$300,MATCH($A279,메뉴구조!$A$5:$A$300,0))&amp;""</f>
        <v>거래</v>
      </c>
      <c r="C279" s="19" t="str">
        <f>INDEX(메뉴구조!$C$5:$C$300,MATCH($A279,메뉴구조!$A$5:$A$300,0))&amp;""</f>
        <v>종목</v>
      </c>
      <c r="D279" s="19" t="str">
        <f>INDEX(메뉴구조!$D$5:$D$300,MATCH($A279,메뉴구조!$A$5:$A$300,0))&amp;""</f>
        <v>종목상세</v>
      </c>
      <c r="E279" s="19" t="str">
        <f>INDEX(메뉴구조!$E$5:$E$300,MATCH($A279,메뉴구조!$A$5:$A$300,0))&amp;""</f>
        <v>주문 (일반)&gt; 판매&gt; 판매희망가(3&gt; 3)</v>
      </c>
      <c r="F279" s="9" t="str">
        <f>INDEX(메뉴구조!$G$5:$G$300,MATCH($A279,메뉴구조!$A$5:$A$300,0))&amp;""</f>
        <v>거래 / 종목 / 종목상세 / 주문 (일반)&gt; 판매&gt; 판매희망가(3&gt; 3)</v>
      </c>
      <c r="G279" s="18">
        <v>2</v>
      </c>
      <c r="H279" s="31" t="s">
        <v>1175</v>
      </c>
      <c r="I279" s="31" t="s">
        <v>1176</v>
      </c>
      <c r="J279" s="9" t="s">
        <v>1177</v>
      </c>
      <c r="K279" s="20" t="s">
        <v>9</v>
      </c>
      <c r="L279" s="9" t="s">
        <v>938</v>
      </c>
      <c r="M279" s="9" t="s">
        <v>1178</v>
      </c>
    </row>
    <row r="280" spans="1:13" ht="25" hidden="1">
      <c r="A280" s="18" t="s">
        <v>256</v>
      </c>
      <c r="B280" s="19" t="str">
        <f>INDEX(메뉴구조!$B$5:$B$300,MATCH($A280,메뉴구조!$A$5:$A$300,0))&amp;""</f>
        <v>거래</v>
      </c>
      <c r="C280" s="19" t="str">
        <f>INDEX(메뉴구조!$C$5:$C$300,MATCH($A280,메뉴구조!$A$5:$A$300,0))&amp;""</f>
        <v>종목</v>
      </c>
      <c r="D280" s="19" t="str">
        <f>INDEX(메뉴구조!$D$5:$D$300,MATCH($A280,메뉴구조!$A$5:$A$300,0))&amp;""</f>
        <v>종목상세</v>
      </c>
      <c r="E280" s="19" t="str">
        <f>INDEX(메뉴구조!$E$5:$E$300,MATCH($A280,메뉴구조!$A$5:$A$300,0))&amp;""</f>
        <v>주문 (일반)&gt; 판매&gt; 판매희망가&gt; 판매주문</v>
      </c>
      <c r="F280" s="9" t="str">
        <f>INDEX(메뉴구조!$G$5:$G$300,MATCH($A280,메뉴구조!$A$5:$A$300,0))&amp;""</f>
        <v>거래 / 종목 / 종목상세 / 주문 (일반)&gt; 판매&gt; 판매희망가&gt; 판매주문</v>
      </c>
      <c r="G280" s="18">
        <v>1</v>
      </c>
      <c r="H280" s="31" t="s">
        <v>1179</v>
      </c>
      <c r="I280" s="31" t="s">
        <v>1180</v>
      </c>
      <c r="J280" s="9"/>
      <c r="K280" s="20" t="s">
        <v>9</v>
      </c>
      <c r="L280" s="9" t="s">
        <v>938</v>
      </c>
      <c r="M280" s="9" t="s">
        <v>1180</v>
      </c>
    </row>
    <row r="281" spans="1:13" ht="37.5" hidden="1">
      <c r="A281" s="18" t="s">
        <v>256</v>
      </c>
      <c r="B281" s="19" t="str">
        <f>INDEX(메뉴구조!$B$5:$B$300,MATCH($A281,메뉴구조!$A$5:$A$300,0))&amp;""</f>
        <v>거래</v>
      </c>
      <c r="C281" s="19" t="str">
        <f>INDEX(메뉴구조!$C$5:$C$300,MATCH($A281,메뉴구조!$A$5:$A$300,0))&amp;""</f>
        <v>종목</v>
      </c>
      <c r="D281" s="19" t="str">
        <f>INDEX(메뉴구조!$D$5:$D$300,MATCH($A281,메뉴구조!$A$5:$A$300,0))&amp;""</f>
        <v>종목상세</v>
      </c>
      <c r="E281" s="19" t="str">
        <f>INDEX(메뉴구조!$E$5:$E$300,MATCH($A281,메뉴구조!$A$5:$A$300,0))&amp;""</f>
        <v>주문 (일반)&gt; 판매&gt; 판매희망가&gt; 판매주문</v>
      </c>
      <c r="F281" s="9" t="str">
        <f>INDEX(메뉴구조!$G$5:$G$300,MATCH($A281,메뉴구조!$A$5:$A$300,0))&amp;""</f>
        <v>거래 / 종목 / 종목상세 / 주문 (일반)&gt; 판매&gt; 판매희망가&gt; 판매주문</v>
      </c>
      <c r="G281" s="18">
        <v>2</v>
      </c>
      <c r="H281" s="9" t="s">
        <v>1181</v>
      </c>
      <c r="I281" s="9" t="s">
        <v>1182</v>
      </c>
      <c r="J281" s="9" t="s">
        <v>1183</v>
      </c>
      <c r="K281" s="18" t="s">
        <v>17</v>
      </c>
      <c r="L281" s="9"/>
      <c r="M281" s="9"/>
    </row>
    <row r="282" spans="1:13" ht="25" hidden="1">
      <c r="A282" s="18" t="s">
        <v>256</v>
      </c>
      <c r="B282" s="19" t="str">
        <f>INDEX(메뉴구조!$B$5:$B$300,MATCH($A282,메뉴구조!$A$5:$A$300,0))&amp;""</f>
        <v>거래</v>
      </c>
      <c r="C282" s="19" t="str">
        <f>INDEX(메뉴구조!$C$5:$C$300,MATCH($A282,메뉴구조!$A$5:$A$300,0))&amp;""</f>
        <v>종목</v>
      </c>
      <c r="D282" s="19" t="str">
        <f>INDEX(메뉴구조!$D$5:$D$300,MATCH($A282,메뉴구조!$A$5:$A$300,0))&amp;""</f>
        <v>종목상세</v>
      </c>
      <c r="E282" s="19" t="str">
        <f>INDEX(메뉴구조!$E$5:$E$300,MATCH($A282,메뉴구조!$A$5:$A$300,0))&amp;""</f>
        <v>주문 (일반)&gt; 판매&gt; 판매희망가&gt; 판매주문</v>
      </c>
      <c r="F282" s="9" t="str">
        <f>INDEX(메뉴구조!$G$5:$G$300,MATCH($A282,메뉴구조!$A$5:$A$300,0))&amp;""</f>
        <v>거래 / 종목 / 종목상세 / 주문 (일반)&gt; 판매&gt; 판매희망가&gt; 판매주문</v>
      </c>
      <c r="G282" s="18">
        <v>3</v>
      </c>
      <c r="H282" s="9" t="s">
        <v>1184</v>
      </c>
      <c r="I282" s="9" t="s">
        <v>1185</v>
      </c>
      <c r="J282" s="9" t="s">
        <v>1186</v>
      </c>
      <c r="K282" s="18" t="s">
        <v>17</v>
      </c>
      <c r="L282" s="9"/>
      <c r="M282" s="9"/>
    </row>
    <row r="283" spans="1:13" ht="25" hidden="1">
      <c r="A283" s="18" t="s">
        <v>259</v>
      </c>
      <c r="B283" s="19" t="str">
        <f>INDEX(메뉴구조!$B$5:$B$300,MATCH($A283,메뉴구조!$A$5:$A$300,0))&amp;""</f>
        <v>거래</v>
      </c>
      <c r="C283" s="19" t="str">
        <f>INDEX(메뉴구조!$C$5:$C$300,MATCH($A283,메뉴구조!$A$5:$A$300,0))&amp;""</f>
        <v>종목</v>
      </c>
      <c r="D283" s="19" t="str">
        <f>INDEX(메뉴구조!$D$5:$D$300,MATCH($A283,메뉴구조!$A$5:$A$300,0))&amp;""</f>
        <v>종목상세</v>
      </c>
      <c r="E283" s="19" t="str">
        <f>INDEX(메뉴구조!$E$5:$E$300,MATCH($A283,메뉴구조!$A$5:$A$300,0))&amp;""</f>
        <v>주문 (일반)&gt; 판매&gt; 판매희망가&gt; 주문완료</v>
      </c>
      <c r="F283" s="9" t="str">
        <f>INDEX(메뉴구조!$G$5:$G$300,MATCH($A283,메뉴구조!$A$5:$A$300,0))&amp;""</f>
        <v>거래 / 종목 / 종목상세 / 주문 (일반)&gt; 판매&gt; 판매희망가&gt; 주문완료</v>
      </c>
      <c r="G283" s="18">
        <v>1</v>
      </c>
      <c r="H283" s="9" t="s">
        <v>1187</v>
      </c>
      <c r="I283" s="9" t="s">
        <v>1188</v>
      </c>
      <c r="J283" s="9"/>
      <c r="K283" s="25" t="s">
        <v>13</v>
      </c>
      <c r="L283" s="9" t="s">
        <v>851</v>
      </c>
      <c r="M283" s="9"/>
    </row>
    <row r="284" spans="1:13" ht="25" hidden="1">
      <c r="A284" s="18" t="s">
        <v>259</v>
      </c>
      <c r="B284" s="19" t="str">
        <f>INDEX(메뉴구조!$B$5:$B$300,MATCH($A284,메뉴구조!$A$5:$A$300,0))&amp;""</f>
        <v>거래</v>
      </c>
      <c r="C284" s="19" t="str">
        <f>INDEX(메뉴구조!$C$5:$C$300,MATCH($A284,메뉴구조!$A$5:$A$300,0))&amp;""</f>
        <v>종목</v>
      </c>
      <c r="D284" s="19" t="str">
        <f>INDEX(메뉴구조!$D$5:$D$300,MATCH($A284,메뉴구조!$A$5:$A$300,0))&amp;""</f>
        <v>종목상세</v>
      </c>
      <c r="E284" s="19" t="str">
        <f>INDEX(메뉴구조!$E$5:$E$300,MATCH($A284,메뉴구조!$A$5:$A$300,0))&amp;""</f>
        <v>주문 (일반)&gt; 판매&gt; 판매희망가&gt; 주문완료</v>
      </c>
      <c r="F284" s="9" t="str">
        <f>INDEX(메뉴구조!$G$5:$G$300,MATCH($A284,메뉴구조!$A$5:$A$300,0))&amp;""</f>
        <v>거래 / 종목 / 종목상세 / 주문 (일반)&gt; 판매&gt; 판매희망가&gt; 주문완료</v>
      </c>
      <c r="G284" s="18">
        <v>2</v>
      </c>
      <c r="H284" s="9" t="s">
        <v>1092</v>
      </c>
      <c r="I284" s="9" t="s">
        <v>1189</v>
      </c>
      <c r="J284" s="9" t="s">
        <v>1190</v>
      </c>
      <c r="K284" s="25" t="s">
        <v>13</v>
      </c>
      <c r="L284" s="9" t="s">
        <v>851</v>
      </c>
      <c r="M284" s="9"/>
    </row>
    <row r="285" spans="1:13" ht="25" hidden="1">
      <c r="A285" s="18" t="s">
        <v>259</v>
      </c>
      <c r="B285" s="19" t="str">
        <f>INDEX(메뉴구조!$B$5:$B$300,MATCH($A285,메뉴구조!$A$5:$A$300,0))&amp;""</f>
        <v>거래</v>
      </c>
      <c r="C285" s="19" t="str">
        <f>INDEX(메뉴구조!$C$5:$C$300,MATCH($A285,메뉴구조!$A$5:$A$300,0))&amp;""</f>
        <v>종목</v>
      </c>
      <c r="D285" s="19" t="str">
        <f>INDEX(메뉴구조!$D$5:$D$300,MATCH($A285,메뉴구조!$A$5:$A$300,0))&amp;""</f>
        <v>종목상세</v>
      </c>
      <c r="E285" s="19" t="str">
        <f>INDEX(메뉴구조!$E$5:$E$300,MATCH($A285,메뉴구조!$A$5:$A$300,0))&amp;""</f>
        <v>주문 (일반)&gt; 판매&gt; 판매희망가&gt; 주문완료</v>
      </c>
      <c r="F285" s="9" t="str">
        <f>INDEX(메뉴구조!$G$5:$G$300,MATCH($A285,메뉴구조!$A$5:$A$300,0))&amp;""</f>
        <v>거래 / 종목 / 종목상세 / 주문 (일반)&gt; 판매&gt; 판매희망가&gt; 주문완료</v>
      </c>
      <c r="G285" s="18">
        <v>3</v>
      </c>
      <c r="H285" s="9" t="s">
        <v>1095</v>
      </c>
      <c r="I285" s="9" t="s">
        <v>1191</v>
      </c>
      <c r="J285" s="9"/>
      <c r="K285" s="25" t="s">
        <v>13</v>
      </c>
      <c r="L285" s="9" t="s">
        <v>851</v>
      </c>
      <c r="M285" s="9"/>
    </row>
    <row r="286" spans="1:13" ht="25" hidden="1">
      <c r="A286" s="18" t="s">
        <v>262</v>
      </c>
      <c r="B286" s="19" t="str">
        <f>INDEX(메뉴구조!$B$5:$B$300,MATCH($A286,메뉴구조!$A$5:$A$300,0))&amp;""</f>
        <v>거래</v>
      </c>
      <c r="C286" s="19" t="str">
        <f>INDEX(메뉴구조!$C$5:$C$300,MATCH($A286,메뉴구조!$A$5:$A$300,0))&amp;""</f>
        <v>종목</v>
      </c>
      <c r="D286" s="19" t="str">
        <f>INDEX(메뉴구조!$D$5:$D$300,MATCH($A286,메뉴구조!$A$5:$A$300,0))&amp;""</f>
        <v>종목상세</v>
      </c>
      <c r="E286" s="19" t="str">
        <f>INDEX(메뉴구조!$E$5:$E$300,MATCH($A286,메뉴구조!$A$5:$A$300,0))&amp;""</f>
        <v>주문 (일반)&gt; 판매&gt; AI매칭_수량입력(1&gt; 3)</v>
      </c>
      <c r="F286" s="9" t="str">
        <f>INDEX(메뉴구조!$G$5:$G$300,MATCH($A286,메뉴구조!$A$5:$A$300,0))&amp;""</f>
        <v>거래 / 종목 / 종목상세 / 주문 (일반)&gt; 판매&gt; AI매칭_수량입력(1&gt; 3)</v>
      </c>
      <c r="G286" s="18">
        <v>1</v>
      </c>
      <c r="H286" s="9" t="s">
        <v>1192</v>
      </c>
      <c r="I286" s="9" t="s">
        <v>1193</v>
      </c>
      <c r="J286" s="9"/>
      <c r="K286" s="18" t="s">
        <v>17</v>
      </c>
      <c r="L286" s="9"/>
      <c r="M286" s="9"/>
    </row>
    <row r="287" spans="1:13" ht="25" hidden="1">
      <c r="A287" s="18" t="s">
        <v>262</v>
      </c>
      <c r="B287" s="19" t="str">
        <f>INDEX(메뉴구조!$B$5:$B$300,MATCH($A287,메뉴구조!$A$5:$A$300,0))&amp;""</f>
        <v>거래</v>
      </c>
      <c r="C287" s="19" t="str">
        <f>INDEX(메뉴구조!$C$5:$C$300,MATCH($A287,메뉴구조!$A$5:$A$300,0))&amp;""</f>
        <v>종목</v>
      </c>
      <c r="D287" s="19" t="str">
        <f>INDEX(메뉴구조!$D$5:$D$300,MATCH($A287,메뉴구조!$A$5:$A$300,0))&amp;""</f>
        <v>종목상세</v>
      </c>
      <c r="E287" s="19" t="str">
        <f>INDEX(메뉴구조!$E$5:$E$300,MATCH($A287,메뉴구조!$A$5:$A$300,0))&amp;""</f>
        <v>주문 (일반)&gt; 판매&gt; AI매칭_수량입력(1&gt; 3)</v>
      </c>
      <c r="F287" s="9" t="str">
        <f>INDEX(메뉴구조!$G$5:$G$300,MATCH($A287,메뉴구조!$A$5:$A$300,0))&amp;""</f>
        <v>거래 / 종목 / 종목상세 / 주문 (일반)&gt; 판매&gt; AI매칭_수량입력(1&gt; 3)</v>
      </c>
      <c r="G287" s="18">
        <v>2</v>
      </c>
      <c r="H287" s="9" t="s">
        <v>1100</v>
      </c>
      <c r="I287" s="9" t="s">
        <v>1194</v>
      </c>
      <c r="J287" s="9"/>
      <c r="K287" s="18" t="s">
        <v>17</v>
      </c>
      <c r="L287" s="9"/>
      <c r="M287" s="9"/>
    </row>
    <row r="288" spans="1:13" ht="25" hidden="1">
      <c r="A288" s="18" t="s">
        <v>262</v>
      </c>
      <c r="B288" s="19" t="str">
        <f>INDEX(메뉴구조!$B$5:$B$300,MATCH($A288,메뉴구조!$A$5:$A$300,0))&amp;""</f>
        <v>거래</v>
      </c>
      <c r="C288" s="19" t="str">
        <f>INDEX(메뉴구조!$C$5:$C$300,MATCH($A288,메뉴구조!$A$5:$A$300,0))&amp;""</f>
        <v>종목</v>
      </c>
      <c r="D288" s="19" t="str">
        <f>INDEX(메뉴구조!$D$5:$D$300,MATCH($A288,메뉴구조!$A$5:$A$300,0))&amp;""</f>
        <v>종목상세</v>
      </c>
      <c r="E288" s="19" t="str">
        <f>INDEX(메뉴구조!$E$5:$E$300,MATCH($A288,메뉴구조!$A$5:$A$300,0))&amp;""</f>
        <v>주문 (일반)&gt; 판매&gt; AI매칭_수량입력(1&gt; 3)</v>
      </c>
      <c r="F288" s="9" t="str">
        <f>INDEX(메뉴구조!$G$5:$G$300,MATCH($A288,메뉴구조!$A$5:$A$300,0))&amp;""</f>
        <v>거래 / 종목 / 종목상세 / 주문 (일반)&gt; 판매&gt; AI매칭_수량입력(1&gt; 3)</v>
      </c>
      <c r="G288" s="18">
        <v>3</v>
      </c>
      <c r="H288" s="9" t="s">
        <v>1068</v>
      </c>
      <c r="I288" s="9" t="s">
        <v>1195</v>
      </c>
      <c r="J288" s="9"/>
      <c r="K288" s="18" t="s">
        <v>17</v>
      </c>
      <c r="L288" s="9"/>
      <c r="M288" s="9"/>
    </row>
    <row r="289" spans="1:13" ht="50" hidden="1">
      <c r="A289" s="18" t="s">
        <v>262</v>
      </c>
      <c r="B289" s="19" t="str">
        <f>INDEX(메뉴구조!$B$5:$B$300,MATCH($A289,메뉴구조!$A$5:$A$300,0))&amp;""</f>
        <v>거래</v>
      </c>
      <c r="C289" s="19" t="str">
        <f>INDEX(메뉴구조!$C$5:$C$300,MATCH($A289,메뉴구조!$A$5:$A$300,0))&amp;""</f>
        <v>종목</v>
      </c>
      <c r="D289" s="19" t="str">
        <f>INDEX(메뉴구조!$D$5:$D$300,MATCH($A289,메뉴구조!$A$5:$A$300,0))&amp;""</f>
        <v>종목상세</v>
      </c>
      <c r="E289" s="19" t="str">
        <f>INDEX(메뉴구조!$E$5:$E$300,MATCH($A289,메뉴구조!$A$5:$A$300,0))&amp;""</f>
        <v>주문 (일반)&gt; 판매&gt; AI매칭_수량입력(1&gt; 3)</v>
      </c>
      <c r="F289" s="9" t="str">
        <f>INDEX(메뉴구조!$G$5:$G$300,MATCH($A289,메뉴구조!$A$5:$A$300,0))&amp;""</f>
        <v>거래 / 종목 / 종목상세 / 주문 (일반)&gt; 판매&gt; AI매칭_수량입력(1&gt; 3)</v>
      </c>
      <c r="G289" s="18">
        <v>4</v>
      </c>
      <c r="H289" s="32" t="s">
        <v>1103</v>
      </c>
      <c r="I289" s="32" t="s">
        <v>1104</v>
      </c>
      <c r="J289" s="32"/>
      <c r="K289" s="23" t="s">
        <v>7</v>
      </c>
      <c r="L289" s="9" t="s">
        <v>1105</v>
      </c>
      <c r="M289" s="9"/>
    </row>
    <row r="290" spans="1:13" ht="25" hidden="1">
      <c r="A290" s="18" t="s">
        <v>265</v>
      </c>
      <c r="B290" s="19" t="str">
        <f>INDEX(메뉴구조!$B$5:$B$300,MATCH($A290,메뉴구조!$A$5:$A$300,0))&amp;""</f>
        <v>거래</v>
      </c>
      <c r="C290" s="19" t="str">
        <f>INDEX(메뉴구조!$C$5:$C$300,MATCH($A290,메뉴구조!$A$5:$A$300,0))&amp;""</f>
        <v>종목</v>
      </c>
      <c r="D290" s="19" t="str">
        <f>INDEX(메뉴구조!$D$5:$D$300,MATCH($A290,메뉴구조!$A$5:$A$300,0))&amp;""</f>
        <v>종목상세</v>
      </c>
      <c r="E290" s="19" t="str">
        <f>INDEX(메뉴구조!$E$5:$E$300,MATCH($A290,메뉴구조!$A$5:$A$300,0))&amp;""</f>
        <v>주문 (일반)&gt; 판매&gt; AI매칭_수량입력(2&gt; 3)</v>
      </c>
      <c r="F290" s="9" t="str">
        <f>INDEX(메뉴구조!$G$5:$G$300,MATCH($A290,메뉴구조!$A$5:$A$300,0))&amp;""</f>
        <v>거래 / 종목 / 종목상세 / 주문 (일반)&gt; 판매&gt; AI매칭_수량입력(2&gt; 3)</v>
      </c>
      <c r="G290" s="18">
        <v>1</v>
      </c>
      <c r="H290" s="31" t="s">
        <v>1196</v>
      </c>
      <c r="I290" s="31" t="s">
        <v>1197</v>
      </c>
      <c r="J290" s="9"/>
      <c r="K290" s="20" t="s">
        <v>9</v>
      </c>
      <c r="L290" s="9" t="s">
        <v>1198</v>
      </c>
      <c r="M290" s="9" t="s">
        <v>1199</v>
      </c>
    </row>
    <row r="291" spans="1:13" ht="62.5" hidden="1">
      <c r="A291" s="18" t="s">
        <v>265</v>
      </c>
      <c r="B291" s="19" t="str">
        <f>INDEX(메뉴구조!$B$5:$B$300,MATCH($A291,메뉴구조!$A$5:$A$300,0))&amp;""</f>
        <v>거래</v>
      </c>
      <c r="C291" s="19" t="str">
        <f>INDEX(메뉴구조!$C$5:$C$300,MATCH($A291,메뉴구조!$A$5:$A$300,0))&amp;""</f>
        <v>종목</v>
      </c>
      <c r="D291" s="19" t="str">
        <f>INDEX(메뉴구조!$D$5:$D$300,MATCH($A291,메뉴구조!$A$5:$A$300,0))&amp;""</f>
        <v>종목상세</v>
      </c>
      <c r="E291" s="19" t="str">
        <f>INDEX(메뉴구조!$E$5:$E$300,MATCH($A291,메뉴구조!$A$5:$A$300,0))&amp;""</f>
        <v>주문 (일반)&gt; 판매&gt; AI매칭_수량입력(2&gt; 3)</v>
      </c>
      <c r="F291" s="9" t="str">
        <f>INDEX(메뉴구조!$G$5:$G$300,MATCH($A291,메뉴구조!$A$5:$A$300,0))&amp;""</f>
        <v>거래 / 종목 / 종목상세 / 주문 (일반)&gt; 판매&gt; AI매칭_수량입력(2&gt; 3)</v>
      </c>
      <c r="G291" s="18">
        <v>2</v>
      </c>
      <c r="H291" s="31" t="s">
        <v>1108</v>
      </c>
      <c r="I291" s="31" t="s">
        <v>1200</v>
      </c>
      <c r="J291" s="9"/>
      <c r="K291" s="20" t="s">
        <v>9</v>
      </c>
      <c r="L291" s="9" t="s">
        <v>1110</v>
      </c>
      <c r="M291" s="9" t="s">
        <v>1201</v>
      </c>
    </row>
    <row r="292" spans="1:13" ht="25" hidden="1">
      <c r="A292" s="18" t="s">
        <v>265</v>
      </c>
      <c r="B292" s="19" t="str">
        <f>INDEX(메뉴구조!$B$5:$B$300,MATCH($A292,메뉴구조!$A$5:$A$300,0))&amp;""</f>
        <v>거래</v>
      </c>
      <c r="C292" s="19" t="str">
        <f>INDEX(메뉴구조!$C$5:$C$300,MATCH($A292,메뉴구조!$A$5:$A$300,0))&amp;""</f>
        <v>종목</v>
      </c>
      <c r="D292" s="19" t="str">
        <f>INDEX(메뉴구조!$D$5:$D$300,MATCH($A292,메뉴구조!$A$5:$A$300,0))&amp;""</f>
        <v>종목상세</v>
      </c>
      <c r="E292" s="19" t="str">
        <f>INDEX(메뉴구조!$E$5:$E$300,MATCH($A292,메뉴구조!$A$5:$A$300,0))&amp;""</f>
        <v>주문 (일반)&gt; 판매&gt; AI매칭_수량입력(2&gt; 3)</v>
      </c>
      <c r="F292" s="9" t="str">
        <f>INDEX(메뉴구조!$G$5:$G$300,MATCH($A292,메뉴구조!$A$5:$A$300,0))&amp;""</f>
        <v>거래 / 종목 / 종목상세 / 주문 (일반)&gt; 판매&gt; AI매칭_수량입력(2&gt; 3)</v>
      </c>
      <c r="G292" s="18">
        <v>3</v>
      </c>
      <c r="H292" s="9" t="s">
        <v>1112</v>
      </c>
      <c r="I292" s="9" t="s">
        <v>1202</v>
      </c>
      <c r="J292" s="9"/>
      <c r="K292" s="18" t="s">
        <v>17</v>
      </c>
      <c r="L292" s="9"/>
      <c r="M292" s="9"/>
    </row>
    <row r="293" spans="1:13" ht="37.5" hidden="1">
      <c r="A293" s="18" t="s">
        <v>268</v>
      </c>
      <c r="B293" s="19" t="str">
        <f>INDEX(메뉴구조!$B$5:$B$300,MATCH($A293,메뉴구조!$A$5:$A$300,0))&amp;""</f>
        <v>거래</v>
      </c>
      <c r="C293" s="19" t="str">
        <f>INDEX(메뉴구조!$C$5:$C$300,MATCH($A293,메뉴구조!$A$5:$A$300,0))&amp;""</f>
        <v>종목</v>
      </c>
      <c r="D293" s="19" t="str">
        <f>INDEX(메뉴구조!$D$5:$D$300,MATCH($A293,메뉴구조!$A$5:$A$300,0))&amp;""</f>
        <v>종목상세</v>
      </c>
      <c r="E293" s="19" t="str">
        <f>INDEX(메뉴구조!$E$5:$E$300,MATCH($A293,메뉴구조!$A$5:$A$300,0))&amp;""</f>
        <v>주문 (일반)&gt; 판매&gt; AI매칭_수량입력(3&gt; 3)</v>
      </c>
      <c r="F293" s="9" t="str">
        <f>INDEX(메뉴구조!$G$5:$G$300,MATCH($A293,메뉴구조!$A$5:$A$300,0))&amp;""</f>
        <v>거래 / 종목 / 종목상세 / 주문 (일반)&gt; 판매&gt; AI매칭_수량입력(3&gt; 3)</v>
      </c>
      <c r="G293" s="18">
        <v>1</v>
      </c>
      <c r="H293" s="31" t="s">
        <v>1114</v>
      </c>
      <c r="I293" s="31" t="s">
        <v>1115</v>
      </c>
      <c r="J293" s="9"/>
      <c r="K293" s="20" t="s">
        <v>9</v>
      </c>
      <c r="L293" s="9" t="s">
        <v>1116</v>
      </c>
      <c r="M293" s="9" t="s">
        <v>1203</v>
      </c>
    </row>
    <row r="294" spans="1:13" ht="25" hidden="1">
      <c r="A294" s="18" t="s">
        <v>268</v>
      </c>
      <c r="B294" s="19" t="str">
        <f>INDEX(메뉴구조!$B$5:$B$300,MATCH($A294,메뉴구조!$A$5:$A$300,0))&amp;""</f>
        <v>거래</v>
      </c>
      <c r="C294" s="19" t="str">
        <f>INDEX(메뉴구조!$C$5:$C$300,MATCH($A294,메뉴구조!$A$5:$A$300,0))&amp;""</f>
        <v>종목</v>
      </c>
      <c r="D294" s="19" t="str">
        <f>INDEX(메뉴구조!$D$5:$D$300,MATCH($A294,메뉴구조!$A$5:$A$300,0))&amp;""</f>
        <v>종목상세</v>
      </c>
      <c r="E294" s="19" t="str">
        <f>INDEX(메뉴구조!$E$5:$E$300,MATCH($A294,메뉴구조!$A$5:$A$300,0))&amp;""</f>
        <v>주문 (일반)&gt; 판매&gt; AI매칭_수량입력(3&gt; 3)</v>
      </c>
      <c r="F294" s="9" t="str">
        <f>INDEX(메뉴구조!$G$5:$G$300,MATCH($A294,메뉴구조!$A$5:$A$300,0))&amp;""</f>
        <v>거래 / 종목 / 종목상세 / 주문 (일반)&gt; 판매&gt; AI매칭_수량입력(3&gt; 3)</v>
      </c>
      <c r="G294" s="18">
        <v>2</v>
      </c>
      <c r="H294" s="9" t="s">
        <v>1175</v>
      </c>
      <c r="I294" s="9" t="s">
        <v>1204</v>
      </c>
      <c r="J294" s="9"/>
      <c r="K294" s="18" t="s">
        <v>17</v>
      </c>
      <c r="L294" s="9"/>
      <c r="M294" s="9"/>
    </row>
    <row r="295" spans="1:13" ht="25" hidden="1">
      <c r="A295" s="18" t="s">
        <v>271</v>
      </c>
      <c r="B295" s="19" t="str">
        <f>INDEX(메뉴구조!$B$5:$B$300,MATCH($A295,메뉴구조!$A$5:$A$300,0))&amp;""</f>
        <v>거래</v>
      </c>
      <c r="C295" s="19" t="str">
        <f>INDEX(메뉴구조!$C$5:$C$300,MATCH($A295,메뉴구조!$A$5:$A$300,0))&amp;""</f>
        <v>종목</v>
      </c>
      <c r="D295" s="19" t="str">
        <f>INDEX(메뉴구조!$D$5:$D$300,MATCH($A295,메뉴구조!$A$5:$A$300,0))&amp;""</f>
        <v>종목상세</v>
      </c>
      <c r="E295" s="19" t="str">
        <f>INDEX(메뉴구조!$E$5:$E$300,MATCH($A295,메뉴구조!$A$5:$A$300,0))&amp;""</f>
        <v>주문 (일반)&gt; 판매&gt; AI매칭&gt; 판매주문</v>
      </c>
      <c r="F295" s="9" t="str">
        <f>INDEX(메뉴구조!$G$5:$G$300,MATCH($A295,메뉴구조!$A$5:$A$300,0))&amp;""</f>
        <v>거래 / 종목 / 종목상세 / 주문 (일반)&gt; 판매&gt; AI매칭&gt; 판매주문</v>
      </c>
      <c r="G295" s="18">
        <v>1</v>
      </c>
      <c r="H295" s="9" t="s">
        <v>1205</v>
      </c>
      <c r="I295" s="9" t="s">
        <v>1206</v>
      </c>
      <c r="J295" s="9" t="s">
        <v>1207</v>
      </c>
      <c r="K295" s="18" t="s">
        <v>17</v>
      </c>
      <c r="L295" s="9"/>
      <c r="M295" s="9"/>
    </row>
    <row r="296" spans="1:13" ht="25" hidden="1">
      <c r="A296" s="18" t="s">
        <v>271</v>
      </c>
      <c r="B296" s="19" t="str">
        <f>INDEX(메뉴구조!$B$5:$B$300,MATCH($A296,메뉴구조!$A$5:$A$300,0))&amp;""</f>
        <v>거래</v>
      </c>
      <c r="C296" s="19" t="str">
        <f>INDEX(메뉴구조!$C$5:$C$300,MATCH($A296,메뉴구조!$A$5:$A$300,0))&amp;""</f>
        <v>종목</v>
      </c>
      <c r="D296" s="19" t="str">
        <f>INDEX(메뉴구조!$D$5:$D$300,MATCH($A296,메뉴구조!$A$5:$A$300,0))&amp;""</f>
        <v>종목상세</v>
      </c>
      <c r="E296" s="19" t="str">
        <f>INDEX(메뉴구조!$E$5:$E$300,MATCH($A296,메뉴구조!$A$5:$A$300,0))&amp;""</f>
        <v>주문 (일반)&gt; 판매&gt; AI매칭&gt; 판매주문</v>
      </c>
      <c r="F296" s="9" t="str">
        <f>INDEX(메뉴구조!$G$5:$G$300,MATCH($A296,메뉴구조!$A$5:$A$300,0))&amp;""</f>
        <v>거래 / 종목 / 종목상세 / 주문 (일반)&gt; 판매&gt; AI매칭&gt; 판매주문</v>
      </c>
      <c r="G296" s="18">
        <v>2</v>
      </c>
      <c r="H296" s="9" t="s">
        <v>1136</v>
      </c>
      <c r="I296" s="9" t="s">
        <v>1208</v>
      </c>
      <c r="J296" s="9" t="s">
        <v>1209</v>
      </c>
      <c r="K296" s="18" t="s">
        <v>17</v>
      </c>
      <c r="L296" s="9"/>
      <c r="M296" s="9"/>
    </row>
    <row r="297" spans="1:13" ht="25" hidden="1">
      <c r="A297" s="18" t="s">
        <v>271</v>
      </c>
      <c r="B297" s="19" t="str">
        <f>INDEX(메뉴구조!$B$5:$B$300,MATCH($A297,메뉴구조!$A$5:$A$300,0))&amp;""</f>
        <v>거래</v>
      </c>
      <c r="C297" s="19" t="str">
        <f>INDEX(메뉴구조!$C$5:$C$300,MATCH($A297,메뉴구조!$A$5:$A$300,0))&amp;""</f>
        <v>종목</v>
      </c>
      <c r="D297" s="19" t="str">
        <f>INDEX(메뉴구조!$D$5:$D$300,MATCH($A297,메뉴구조!$A$5:$A$300,0))&amp;""</f>
        <v>종목상세</v>
      </c>
      <c r="E297" s="19" t="str">
        <f>INDEX(메뉴구조!$E$5:$E$300,MATCH($A297,메뉴구조!$A$5:$A$300,0))&amp;""</f>
        <v>주문 (일반)&gt; 판매&gt; AI매칭&gt; 판매주문</v>
      </c>
      <c r="F297" s="9" t="str">
        <f>INDEX(메뉴구조!$G$5:$G$300,MATCH($A297,메뉴구조!$A$5:$A$300,0))&amp;""</f>
        <v>거래 / 종목 / 종목상세 / 주문 (일반)&gt; 판매&gt; AI매칭&gt; 판매주문</v>
      </c>
      <c r="G297" s="18">
        <v>3</v>
      </c>
      <c r="H297" s="9" t="s">
        <v>1139</v>
      </c>
      <c r="I297" s="9" t="s">
        <v>1210</v>
      </c>
      <c r="J297" s="9" t="s">
        <v>1211</v>
      </c>
      <c r="K297" s="18" t="s">
        <v>17</v>
      </c>
      <c r="L297" s="9"/>
      <c r="M297" s="9"/>
    </row>
    <row r="298" spans="1:13" ht="25" hidden="1">
      <c r="A298" s="18" t="s">
        <v>271</v>
      </c>
      <c r="B298" s="19" t="str">
        <f>INDEX(메뉴구조!$B$5:$B$300,MATCH($A298,메뉴구조!$A$5:$A$300,0))&amp;""</f>
        <v>거래</v>
      </c>
      <c r="C298" s="19" t="str">
        <f>INDEX(메뉴구조!$C$5:$C$300,MATCH($A298,메뉴구조!$A$5:$A$300,0))&amp;""</f>
        <v>종목</v>
      </c>
      <c r="D298" s="19" t="str">
        <f>INDEX(메뉴구조!$D$5:$D$300,MATCH($A298,메뉴구조!$A$5:$A$300,0))&amp;""</f>
        <v>종목상세</v>
      </c>
      <c r="E298" s="19" t="str">
        <f>INDEX(메뉴구조!$E$5:$E$300,MATCH($A298,메뉴구조!$A$5:$A$300,0))&amp;""</f>
        <v>주문 (일반)&gt; 판매&gt; AI매칭&gt; 판매주문</v>
      </c>
      <c r="F298" s="9" t="str">
        <f>INDEX(메뉴구조!$G$5:$G$300,MATCH($A298,메뉴구조!$A$5:$A$300,0))&amp;""</f>
        <v>거래 / 종목 / 종목상세 / 주문 (일반)&gt; 판매&gt; AI매칭&gt; 판매주문</v>
      </c>
      <c r="G298" s="18">
        <v>4</v>
      </c>
      <c r="H298" s="9" t="s">
        <v>1212</v>
      </c>
      <c r="I298" s="9" t="s">
        <v>1213</v>
      </c>
      <c r="J298" s="9" t="s">
        <v>1214</v>
      </c>
      <c r="K298" s="18" t="s">
        <v>17</v>
      </c>
      <c r="L298" s="9"/>
      <c r="M298" s="9"/>
    </row>
    <row r="299" spans="1:13" ht="25" hidden="1">
      <c r="A299" s="18" t="s">
        <v>274</v>
      </c>
      <c r="B299" s="19" t="str">
        <f>INDEX(메뉴구조!$B$5:$B$300,MATCH($A299,메뉴구조!$A$5:$A$300,0))&amp;""</f>
        <v>거래</v>
      </c>
      <c r="C299" s="19" t="str">
        <f>INDEX(메뉴구조!$C$5:$C$300,MATCH($A299,메뉴구조!$A$5:$A$300,0))&amp;""</f>
        <v>종목</v>
      </c>
      <c r="D299" s="19" t="str">
        <f>INDEX(메뉴구조!$D$5:$D$300,MATCH($A299,메뉴구조!$A$5:$A$300,0))&amp;""</f>
        <v>종목상세</v>
      </c>
      <c r="E299" s="19" t="str">
        <f>INDEX(메뉴구조!$E$5:$E$300,MATCH($A299,메뉴구조!$A$5:$A$300,0))&amp;""</f>
        <v>주문 (일반)&gt; 판매&gt; AI매칭&gt; 주문완료</v>
      </c>
      <c r="F299" s="9" t="str">
        <f>INDEX(메뉴구조!$G$5:$G$300,MATCH($A299,메뉴구조!$A$5:$A$300,0))&amp;""</f>
        <v>거래 / 종목 / 종목상세 / 주문 (일반)&gt; 판매&gt; AI매칭&gt; 주문완료</v>
      </c>
      <c r="G299" s="18">
        <v>1</v>
      </c>
      <c r="H299" s="9" t="s">
        <v>1215</v>
      </c>
      <c r="I299" s="9" t="s">
        <v>1216</v>
      </c>
      <c r="J299" s="9"/>
      <c r="K299" s="25" t="s">
        <v>13</v>
      </c>
      <c r="L299" s="9" t="s">
        <v>851</v>
      </c>
      <c r="M299" s="9"/>
    </row>
    <row r="300" spans="1:13" ht="25" hidden="1">
      <c r="A300" s="18" t="s">
        <v>274</v>
      </c>
      <c r="B300" s="19" t="str">
        <f>INDEX(메뉴구조!$B$5:$B$300,MATCH($A300,메뉴구조!$A$5:$A$300,0))&amp;""</f>
        <v>거래</v>
      </c>
      <c r="C300" s="19" t="str">
        <f>INDEX(메뉴구조!$C$5:$C$300,MATCH($A300,메뉴구조!$A$5:$A$300,0))&amp;""</f>
        <v>종목</v>
      </c>
      <c r="D300" s="19" t="str">
        <f>INDEX(메뉴구조!$D$5:$D$300,MATCH($A300,메뉴구조!$A$5:$A$300,0))&amp;""</f>
        <v>종목상세</v>
      </c>
      <c r="E300" s="19" t="str">
        <f>INDEX(메뉴구조!$E$5:$E$300,MATCH($A300,메뉴구조!$A$5:$A$300,0))&amp;""</f>
        <v>주문 (일반)&gt; 판매&gt; AI매칭&gt; 주문완료</v>
      </c>
      <c r="F300" s="9" t="str">
        <f>INDEX(메뉴구조!$G$5:$G$300,MATCH($A300,메뉴구조!$A$5:$A$300,0))&amp;""</f>
        <v>거래 / 종목 / 종목상세 / 주문 (일반)&gt; 판매&gt; AI매칭&gt; 주문완료</v>
      </c>
      <c r="G300" s="18">
        <v>2</v>
      </c>
      <c r="H300" s="31" t="s">
        <v>1217</v>
      </c>
      <c r="I300" s="31" t="s">
        <v>1218</v>
      </c>
      <c r="J300" s="9"/>
      <c r="K300" s="20" t="s">
        <v>9</v>
      </c>
      <c r="L300" s="9" t="s">
        <v>938</v>
      </c>
      <c r="M300" s="9" t="s">
        <v>1219</v>
      </c>
    </row>
    <row r="301" spans="1:13" ht="25" hidden="1">
      <c r="A301" s="18" t="s">
        <v>274</v>
      </c>
      <c r="B301" s="19" t="str">
        <f>INDEX(메뉴구조!$B$5:$B$300,MATCH($A301,메뉴구조!$A$5:$A$300,0))&amp;""</f>
        <v>거래</v>
      </c>
      <c r="C301" s="19" t="str">
        <f>INDEX(메뉴구조!$C$5:$C$300,MATCH($A301,메뉴구조!$A$5:$A$300,0))&amp;""</f>
        <v>종목</v>
      </c>
      <c r="D301" s="19" t="str">
        <f>INDEX(메뉴구조!$D$5:$D$300,MATCH($A301,메뉴구조!$A$5:$A$300,0))&amp;""</f>
        <v>종목상세</v>
      </c>
      <c r="E301" s="19" t="str">
        <f>INDEX(메뉴구조!$E$5:$E$300,MATCH($A301,메뉴구조!$A$5:$A$300,0))&amp;""</f>
        <v>주문 (일반)&gt; 판매&gt; AI매칭&gt; 주문완료</v>
      </c>
      <c r="F301" s="9" t="str">
        <f>INDEX(메뉴구조!$G$5:$G$300,MATCH($A301,메뉴구조!$A$5:$A$300,0))&amp;""</f>
        <v>거래 / 종목 / 종목상세 / 주문 (일반)&gt; 판매&gt; AI매칭&gt; 주문완료</v>
      </c>
      <c r="G301" s="18">
        <v>3</v>
      </c>
      <c r="H301" s="9" t="s">
        <v>1095</v>
      </c>
      <c r="I301" s="9" t="s">
        <v>1220</v>
      </c>
      <c r="J301" s="9"/>
      <c r="K301" s="25" t="s">
        <v>13</v>
      </c>
      <c r="L301" s="9" t="s">
        <v>851</v>
      </c>
      <c r="M301" s="9"/>
    </row>
    <row r="302" spans="1:13" ht="62.5" hidden="1">
      <c r="A302" s="18" t="s">
        <v>277</v>
      </c>
      <c r="B302" s="19" t="str">
        <f>INDEX(메뉴구조!$B$5:$B$300,MATCH($A302,메뉴구조!$A$5:$A$300,0))&amp;""</f>
        <v>거래</v>
      </c>
      <c r="C302" s="19" t="str">
        <f>INDEX(메뉴구조!$C$5:$C$300,MATCH($A302,메뉴구조!$A$5:$A$300,0))&amp;""</f>
        <v>종목</v>
      </c>
      <c r="D302" s="19" t="str">
        <f>INDEX(메뉴구조!$D$5:$D$300,MATCH($A302,메뉴구조!$A$5:$A$300,0))&amp;""</f>
        <v>종목상세</v>
      </c>
      <c r="E302" s="19" t="str">
        <f>INDEX(메뉴구조!$E$5:$E$300,MATCH($A302,메뉴구조!$A$5:$A$300,0))&amp;""</f>
        <v>호가</v>
      </c>
      <c r="F302" s="9" t="str">
        <f>INDEX(메뉴구조!$G$5:$G$300,MATCH($A302,메뉴구조!$A$5:$A$300,0))&amp;""</f>
        <v>거래 / 종목 / 종목상세 / 호가</v>
      </c>
      <c r="G302" s="18">
        <v>1</v>
      </c>
      <c r="H302" s="9" t="s">
        <v>849</v>
      </c>
      <c r="I302" s="9" t="s">
        <v>1221</v>
      </c>
      <c r="J302" s="9"/>
      <c r="K302" s="25" t="s">
        <v>13</v>
      </c>
      <c r="L302" s="9" t="s">
        <v>851</v>
      </c>
      <c r="M302" s="9"/>
    </row>
    <row r="303" spans="1:13" ht="37.5" hidden="1">
      <c r="A303" s="18" t="s">
        <v>277</v>
      </c>
      <c r="B303" s="19" t="str">
        <f>INDEX(메뉴구조!$B$5:$B$300,MATCH($A303,메뉴구조!$A$5:$A$300,0))&amp;""</f>
        <v>거래</v>
      </c>
      <c r="C303" s="19" t="str">
        <f>INDEX(메뉴구조!$C$5:$C$300,MATCH($A303,메뉴구조!$A$5:$A$300,0))&amp;""</f>
        <v>종목</v>
      </c>
      <c r="D303" s="19" t="str">
        <f>INDEX(메뉴구조!$D$5:$D$300,MATCH($A303,메뉴구조!$A$5:$A$300,0))&amp;""</f>
        <v>종목상세</v>
      </c>
      <c r="E303" s="19" t="str">
        <f>INDEX(메뉴구조!$E$5:$E$300,MATCH($A303,메뉴구조!$A$5:$A$300,0))&amp;""</f>
        <v>호가</v>
      </c>
      <c r="F303" s="9" t="str">
        <f>INDEX(메뉴구조!$G$5:$G$300,MATCH($A303,메뉴구조!$A$5:$A$300,0))&amp;""</f>
        <v>거래 / 종목 / 종목상세 / 호가</v>
      </c>
      <c r="G303" s="18">
        <v>2</v>
      </c>
      <c r="H303" s="9" t="s">
        <v>1222</v>
      </c>
      <c r="I303" s="9" t="s">
        <v>1223</v>
      </c>
      <c r="J303" s="9"/>
      <c r="K303" s="25" t="s">
        <v>13</v>
      </c>
      <c r="L303" s="9" t="s">
        <v>851</v>
      </c>
      <c r="M303" s="9"/>
    </row>
    <row r="304" spans="1:13" ht="62.5" hidden="1">
      <c r="A304" s="18" t="s">
        <v>277</v>
      </c>
      <c r="B304" s="19" t="str">
        <f>INDEX(메뉴구조!$B$5:$B$300,MATCH($A304,메뉴구조!$A$5:$A$300,0))&amp;""</f>
        <v>거래</v>
      </c>
      <c r="C304" s="19" t="str">
        <f>INDEX(메뉴구조!$C$5:$C$300,MATCH($A304,메뉴구조!$A$5:$A$300,0))&amp;""</f>
        <v>종목</v>
      </c>
      <c r="D304" s="19" t="str">
        <f>INDEX(메뉴구조!$D$5:$D$300,MATCH($A304,메뉴구조!$A$5:$A$300,0))&amp;""</f>
        <v>종목상세</v>
      </c>
      <c r="E304" s="19" t="str">
        <f>INDEX(메뉴구조!$E$5:$E$300,MATCH($A304,메뉴구조!$A$5:$A$300,0))&amp;""</f>
        <v>호가</v>
      </c>
      <c r="F304" s="9" t="str">
        <f>INDEX(메뉴구조!$G$5:$G$300,MATCH($A304,메뉴구조!$A$5:$A$300,0))&amp;""</f>
        <v>거래 / 종목 / 종목상세 / 호가</v>
      </c>
      <c r="G304" s="18">
        <v>3</v>
      </c>
      <c r="H304" s="9" t="s">
        <v>1224</v>
      </c>
      <c r="I304" s="9" t="s">
        <v>1225</v>
      </c>
      <c r="J304" s="9"/>
      <c r="K304" s="25" t="s">
        <v>13</v>
      </c>
      <c r="L304" s="9" t="s">
        <v>851</v>
      </c>
      <c r="M304" s="9"/>
    </row>
    <row r="305" spans="1:13" ht="37.5" hidden="1">
      <c r="A305" s="18" t="s">
        <v>277</v>
      </c>
      <c r="B305" s="19" t="str">
        <f>INDEX(메뉴구조!$B$5:$B$300,MATCH($A305,메뉴구조!$A$5:$A$300,0))&amp;""</f>
        <v>거래</v>
      </c>
      <c r="C305" s="19" t="str">
        <f>INDEX(메뉴구조!$C$5:$C$300,MATCH($A305,메뉴구조!$A$5:$A$300,0))&amp;""</f>
        <v>종목</v>
      </c>
      <c r="D305" s="19" t="str">
        <f>INDEX(메뉴구조!$D$5:$D$300,MATCH($A305,메뉴구조!$A$5:$A$300,0))&amp;""</f>
        <v>종목상세</v>
      </c>
      <c r="E305" s="19" t="str">
        <f>INDEX(메뉴구조!$E$5:$E$300,MATCH($A305,메뉴구조!$A$5:$A$300,0))&amp;""</f>
        <v>호가</v>
      </c>
      <c r="F305" s="9" t="str">
        <f>INDEX(메뉴구조!$G$5:$G$300,MATCH($A305,메뉴구조!$A$5:$A$300,0))&amp;""</f>
        <v>거래 / 종목 / 종목상세 / 호가</v>
      </c>
      <c r="G305" s="18">
        <v>4</v>
      </c>
      <c r="H305" s="9" t="s">
        <v>1226</v>
      </c>
      <c r="I305" s="9" t="s">
        <v>1227</v>
      </c>
      <c r="J305" s="9"/>
      <c r="K305" s="25" t="s">
        <v>13</v>
      </c>
      <c r="L305" s="9" t="s">
        <v>851</v>
      </c>
      <c r="M305" s="9"/>
    </row>
    <row r="306" spans="1:13" ht="75" hidden="1">
      <c r="A306" s="18" t="s">
        <v>277</v>
      </c>
      <c r="B306" s="19" t="str">
        <f>INDEX(메뉴구조!$B$5:$B$300,MATCH($A306,메뉴구조!$A$5:$A$300,0))&amp;""</f>
        <v>거래</v>
      </c>
      <c r="C306" s="19" t="str">
        <f>INDEX(메뉴구조!$C$5:$C$300,MATCH($A306,메뉴구조!$A$5:$A$300,0))&amp;""</f>
        <v>종목</v>
      </c>
      <c r="D306" s="19" t="str">
        <f>INDEX(메뉴구조!$D$5:$D$300,MATCH($A306,메뉴구조!$A$5:$A$300,0))&amp;""</f>
        <v>종목상세</v>
      </c>
      <c r="E306" s="19" t="str">
        <f>INDEX(메뉴구조!$E$5:$E$300,MATCH($A306,메뉴구조!$A$5:$A$300,0))&amp;""</f>
        <v>호가</v>
      </c>
      <c r="F306" s="9" t="str">
        <f>INDEX(메뉴구조!$G$5:$G$300,MATCH($A306,메뉴구조!$A$5:$A$300,0))&amp;""</f>
        <v>거래 / 종목 / 종목상세 / 호가</v>
      </c>
      <c r="G306" s="18">
        <v>5</v>
      </c>
      <c r="H306" s="9" t="s">
        <v>1228</v>
      </c>
      <c r="I306" s="9" t="s">
        <v>1229</v>
      </c>
      <c r="J306" s="9" t="s">
        <v>1230</v>
      </c>
      <c r="K306" s="25" t="s">
        <v>13</v>
      </c>
      <c r="L306" s="9" t="s">
        <v>851</v>
      </c>
      <c r="M306" s="9"/>
    </row>
    <row r="307" spans="1:13" ht="25" hidden="1">
      <c r="A307" s="18" t="s">
        <v>281</v>
      </c>
      <c r="B307" s="19" t="str">
        <f>INDEX(메뉴구조!$B$5:$B$300,MATCH($A307,메뉴구조!$A$5:$A$300,0))&amp;""</f>
        <v>거래</v>
      </c>
      <c r="C307" s="19" t="str">
        <f>INDEX(메뉴구조!$C$5:$C$300,MATCH($A307,메뉴구조!$A$5:$A$300,0))&amp;""</f>
        <v>종목</v>
      </c>
      <c r="D307" s="19" t="str">
        <f>INDEX(메뉴구조!$D$5:$D$300,MATCH($A307,메뉴구조!$A$5:$A$300,0))&amp;""</f>
        <v>종목상세</v>
      </c>
      <c r="E307" s="19" t="str">
        <f>INDEX(메뉴구조!$E$5:$E$300,MATCH($A307,메뉴구조!$A$5:$A$300,0))&amp;""</f>
        <v>차트</v>
      </c>
      <c r="F307" s="9" t="str">
        <f>INDEX(메뉴구조!$G$5:$G$300,MATCH($A307,메뉴구조!$A$5:$A$300,0))&amp;""</f>
        <v>거래 / 종목 / 종목상세 / 차트</v>
      </c>
      <c r="G307" s="18">
        <v>1</v>
      </c>
      <c r="H307" s="9" t="s">
        <v>849</v>
      </c>
      <c r="I307" s="9" t="s">
        <v>1231</v>
      </c>
      <c r="J307" s="9"/>
      <c r="K307" s="25" t="s">
        <v>13</v>
      </c>
      <c r="L307" s="9" t="s">
        <v>851</v>
      </c>
      <c r="M307" s="9"/>
    </row>
    <row r="308" spans="1:13" ht="87.5" hidden="1">
      <c r="A308" s="18" t="s">
        <v>281</v>
      </c>
      <c r="B308" s="19" t="str">
        <f>INDEX(메뉴구조!$B$5:$B$300,MATCH($A308,메뉴구조!$A$5:$A$300,0))&amp;""</f>
        <v>거래</v>
      </c>
      <c r="C308" s="19" t="str">
        <f>INDEX(메뉴구조!$C$5:$C$300,MATCH($A308,메뉴구조!$A$5:$A$300,0))&amp;""</f>
        <v>종목</v>
      </c>
      <c r="D308" s="19" t="str">
        <f>INDEX(메뉴구조!$D$5:$D$300,MATCH($A308,메뉴구조!$A$5:$A$300,0))&amp;""</f>
        <v>종목상세</v>
      </c>
      <c r="E308" s="19" t="str">
        <f>INDEX(메뉴구조!$E$5:$E$300,MATCH($A308,메뉴구조!$A$5:$A$300,0))&amp;""</f>
        <v>차트</v>
      </c>
      <c r="F308" s="9" t="str">
        <f>INDEX(메뉴구조!$G$5:$G$300,MATCH($A308,메뉴구조!$A$5:$A$300,0))&amp;""</f>
        <v>거래 / 종목 / 종목상세 / 차트</v>
      </c>
      <c r="G308" s="18">
        <v>2</v>
      </c>
      <c r="H308" s="9" t="s">
        <v>1232</v>
      </c>
      <c r="I308" s="9" t="s">
        <v>1233</v>
      </c>
      <c r="J308" s="9" t="s">
        <v>1234</v>
      </c>
      <c r="K308" s="25" t="s">
        <v>13</v>
      </c>
      <c r="L308" s="9" t="s">
        <v>851</v>
      </c>
      <c r="M308" s="9"/>
    </row>
    <row r="309" spans="1:13" ht="62.5" hidden="1">
      <c r="A309" s="18" t="s">
        <v>281</v>
      </c>
      <c r="B309" s="19" t="str">
        <f>INDEX(메뉴구조!$B$5:$B$300,MATCH($A309,메뉴구조!$A$5:$A$300,0))&amp;""</f>
        <v>거래</v>
      </c>
      <c r="C309" s="19" t="str">
        <f>INDEX(메뉴구조!$C$5:$C$300,MATCH($A309,메뉴구조!$A$5:$A$300,0))&amp;""</f>
        <v>종목</v>
      </c>
      <c r="D309" s="19" t="str">
        <f>INDEX(메뉴구조!$D$5:$D$300,MATCH($A309,메뉴구조!$A$5:$A$300,0))&amp;""</f>
        <v>종목상세</v>
      </c>
      <c r="E309" s="19" t="str">
        <f>INDEX(메뉴구조!$E$5:$E$300,MATCH($A309,메뉴구조!$A$5:$A$300,0))&amp;""</f>
        <v>차트</v>
      </c>
      <c r="F309" s="9" t="str">
        <f>INDEX(메뉴구조!$G$5:$G$300,MATCH($A309,메뉴구조!$A$5:$A$300,0))&amp;""</f>
        <v>거래 / 종목 / 종목상세 / 차트</v>
      </c>
      <c r="G309" s="18">
        <v>3</v>
      </c>
      <c r="H309" s="9" t="s">
        <v>1235</v>
      </c>
      <c r="I309" s="9" t="s">
        <v>1236</v>
      </c>
      <c r="J309" s="9"/>
      <c r="K309" s="25" t="s">
        <v>13</v>
      </c>
      <c r="L309" s="9" t="s">
        <v>851</v>
      </c>
      <c r="M309" s="9"/>
    </row>
    <row r="310" spans="1:13" ht="62.5" hidden="1">
      <c r="A310" s="18" t="s">
        <v>281</v>
      </c>
      <c r="B310" s="19" t="str">
        <f>INDEX(메뉴구조!$B$5:$B$300,MATCH($A310,메뉴구조!$A$5:$A$300,0))&amp;""</f>
        <v>거래</v>
      </c>
      <c r="C310" s="19" t="str">
        <f>INDEX(메뉴구조!$C$5:$C$300,MATCH($A310,메뉴구조!$A$5:$A$300,0))&amp;""</f>
        <v>종목</v>
      </c>
      <c r="D310" s="19" t="str">
        <f>INDEX(메뉴구조!$D$5:$D$300,MATCH($A310,메뉴구조!$A$5:$A$300,0))&amp;""</f>
        <v>종목상세</v>
      </c>
      <c r="E310" s="19" t="str">
        <f>INDEX(메뉴구조!$E$5:$E$300,MATCH($A310,메뉴구조!$A$5:$A$300,0))&amp;""</f>
        <v>차트</v>
      </c>
      <c r="F310" s="9" t="str">
        <f>INDEX(메뉴구조!$G$5:$G$300,MATCH($A310,메뉴구조!$A$5:$A$300,0))&amp;""</f>
        <v>거래 / 종목 / 종목상세 / 차트</v>
      </c>
      <c r="G310" s="18">
        <v>4</v>
      </c>
      <c r="H310" s="9" t="s">
        <v>1237</v>
      </c>
      <c r="I310" s="9" t="s">
        <v>1238</v>
      </c>
      <c r="J310" s="9"/>
      <c r="K310" s="25" t="s">
        <v>13</v>
      </c>
      <c r="L310" s="9" t="s">
        <v>851</v>
      </c>
      <c r="M310" s="9"/>
    </row>
    <row r="311" spans="1:13" ht="62.5" hidden="1">
      <c r="A311" s="18" t="s">
        <v>281</v>
      </c>
      <c r="B311" s="19" t="str">
        <f>INDEX(메뉴구조!$B$5:$B$300,MATCH($A311,메뉴구조!$A$5:$A$300,0))&amp;""</f>
        <v>거래</v>
      </c>
      <c r="C311" s="19" t="str">
        <f>INDEX(메뉴구조!$C$5:$C$300,MATCH($A311,메뉴구조!$A$5:$A$300,0))&amp;""</f>
        <v>종목</v>
      </c>
      <c r="D311" s="19" t="str">
        <f>INDEX(메뉴구조!$D$5:$D$300,MATCH($A311,메뉴구조!$A$5:$A$300,0))&amp;""</f>
        <v>종목상세</v>
      </c>
      <c r="E311" s="19" t="str">
        <f>INDEX(메뉴구조!$E$5:$E$300,MATCH($A311,메뉴구조!$A$5:$A$300,0))&amp;""</f>
        <v>차트</v>
      </c>
      <c r="F311" s="9" t="str">
        <f>INDEX(메뉴구조!$G$5:$G$300,MATCH($A311,메뉴구조!$A$5:$A$300,0))&amp;""</f>
        <v>거래 / 종목 / 종목상세 / 차트</v>
      </c>
      <c r="G311" s="18">
        <v>5</v>
      </c>
      <c r="H311" s="9" t="s">
        <v>1239</v>
      </c>
      <c r="I311" s="9" t="s">
        <v>1240</v>
      </c>
      <c r="J311" s="9"/>
      <c r="K311" s="25" t="s">
        <v>13</v>
      </c>
      <c r="L311" s="9" t="s">
        <v>851</v>
      </c>
      <c r="M311" s="9"/>
    </row>
    <row r="312" spans="1:13" ht="25" hidden="1">
      <c r="A312" s="18" t="s">
        <v>281</v>
      </c>
      <c r="B312" s="19" t="str">
        <f>INDEX(메뉴구조!$B$5:$B$300,MATCH($A312,메뉴구조!$A$5:$A$300,0))&amp;""</f>
        <v>거래</v>
      </c>
      <c r="C312" s="19" t="str">
        <f>INDEX(메뉴구조!$C$5:$C$300,MATCH($A312,메뉴구조!$A$5:$A$300,0))&amp;""</f>
        <v>종목</v>
      </c>
      <c r="D312" s="19" t="str">
        <f>INDEX(메뉴구조!$D$5:$D$300,MATCH($A312,메뉴구조!$A$5:$A$300,0))&amp;""</f>
        <v>종목상세</v>
      </c>
      <c r="E312" s="19" t="str">
        <f>INDEX(메뉴구조!$E$5:$E$300,MATCH($A312,메뉴구조!$A$5:$A$300,0))&amp;""</f>
        <v>차트</v>
      </c>
      <c r="F312" s="9" t="str">
        <f>INDEX(메뉴구조!$G$5:$G$300,MATCH($A312,메뉴구조!$A$5:$A$300,0))&amp;""</f>
        <v>거래 / 종목 / 종목상세 / 차트</v>
      </c>
      <c r="G312" s="18">
        <v>6</v>
      </c>
      <c r="H312" s="9" t="s">
        <v>863</v>
      </c>
      <c r="I312" s="9" t="s">
        <v>1241</v>
      </c>
      <c r="J312" s="9"/>
      <c r="K312" s="25" t="s">
        <v>13</v>
      </c>
      <c r="L312" s="9" t="s">
        <v>851</v>
      </c>
      <c r="M312" s="9"/>
    </row>
    <row r="313" spans="1:13" ht="50" hidden="1">
      <c r="A313" s="18" t="s">
        <v>284</v>
      </c>
      <c r="B313" s="19" t="str">
        <f>INDEX(메뉴구조!$B$5:$B$300,MATCH($A313,메뉴구조!$A$5:$A$300,0))&amp;""</f>
        <v>거래</v>
      </c>
      <c r="C313" s="19" t="str">
        <f>INDEX(메뉴구조!$C$5:$C$300,MATCH($A313,메뉴구조!$A$5:$A$300,0))&amp;""</f>
        <v>종목</v>
      </c>
      <c r="D313" s="19" t="str">
        <f>INDEX(메뉴구조!$D$5:$D$300,MATCH($A313,메뉴구조!$A$5:$A$300,0))&amp;""</f>
        <v>종목상세</v>
      </c>
      <c r="E313" s="19" t="str">
        <f>INDEX(메뉴구조!$E$5:$E$300,MATCH($A313,메뉴구조!$A$5:$A$300,0))&amp;""</f>
        <v>차트&gt; 체결시세 목록</v>
      </c>
      <c r="F313" s="9" t="str">
        <f>INDEX(메뉴구조!$G$5:$G$300,MATCH($A313,메뉴구조!$A$5:$A$300,0))&amp;""</f>
        <v>거래 / 종목 / 종목상세 / 차트&gt; 체결시세 목록</v>
      </c>
      <c r="G313" s="18">
        <v>1</v>
      </c>
      <c r="H313" s="9" t="s">
        <v>1242</v>
      </c>
      <c r="I313" s="9" t="s">
        <v>1243</v>
      </c>
      <c r="J313" s="9"/>
      <c r="K313" s="25" t="s">
        <v>13</v>
      </c>
      <c r="L313" s="9" t="s">
        <v>851</v>
      </c>
      <c r="M313" s="9"/>
    </row>
    <row r="314" spans="1:13" ht="37.5" hidden="1">
      <c r="A314" s="18" t="s">
        <v>284</v>
      </c>
      <c r="B314" s="19" t="str">
        <f>INDEX(메뉴구조!$B$5:$B$300,MATCH($A314,메뉴구조!$A$5:$A$300,0))&amp;""</f>
        <v>거래</v>
      </c>
      <c r="C314" s="19" t="str">
        <f>INDEX(메뉴구조!$C$5:$C$300,MATCH($A314,메뉴구조!$A$5:$A$300,0))&amp;""</f>
        <v>종목</v>
      </c>
      <c r="D314" s="19" t="str">
        <f>INDEX(메뉴구조!$D$5:$D$300,MATCH($A314,메뉴구조!$A$5:$A$300,0))&amp;""</f>
        <v>종목상세</v>
      </c>
      <c r="E314" s="19" t="str">
        <f>INDEX(메뉴구조!$E$5:$E$300,MATCH($A314,메뉴구조!$A$5:$A$300,0))&amp;""</f>
        <v>차트&gt; 체결시세 목록</v>
      </c>
      <c r="F314" s="9" t="str">
        <f>INDEX(메뉴구조!$G$5:$G$300,MATCH($A314,메뉴구조!$A$5:$A$300,0))&amp;""</f>
        <v>거래 / 종목 / 종목상세 / 차트&gt; 체결시세 목록</v>
      </c>
      <c r="G314" s="18">
        <v>2</v>
      </c>
      <c r="H314" s="9" t="s">
        <v>1244</v>
      </c>
      <c r="I314" s="9" t="s">
        <v>1245</v>
      </c>
      <c r="J314" s="9"/>
      <c r="K314" s="25" t="s">
        <v>13</v>
      </c>
      <c r="L314" s="9" t="s">
        <v>851</v>
      </c>
      <c r="M314" s="9"/>
    </row>
    <row r="315" spans="1:13" ht="25" hidden="1">
      <c r="A315" s="18" t="s">
        <v>284</v>
      </c>
      <c r="B315" s="19" t="str">
        <f>INDEX(메뉴구조!$B$5:$B$300,MATCH($A315,메뉴구조!$A$5:$A$300,0))&amp;""</f>
        <v>거래</v>
      </c>
      <c r="C315" s="19" t="str">
        <f>INDEX(메뉴구조!$C$5:$C$300,MATCH($A315,메뉴구조!$A$5:$A$300,0))&amp;""</f>
        <v>종목</v>
      </c>
      <c r="D315" s="19" t="str">
        <f>INDEX(메뉴구조!$D$5:$D$300,MATCH($A315,메뉴구조!$A$5:$A$300,0))&amp;""</f>
        <v>종목상세</v>
      </c>
      <c r="E315" s="19" t="str">
        <f>INDEX(메뉴구조!$E$5:$E$300,MATCH($A315,메뉴구조!$A$5:$A$300,0))&amp;""</f>
        <v>차트&gt; 체결시세 목록</v>
      </c>
      <c r="F315" s="9" t="str">
        <f>INDEX(메뉴구조!$G$5:$G$300,MATCH($A315,메뉴구조!$A$5:$A$300,0))&amp;""</f>
        <v>거래 / 종목 / 종목상세 / 차트&gt; 체결시세 목록</v>
      </c>
      <c r="G315" s="18">
        <v>3</v>
      </c>
      <c r="H315" s="9" t="s">
        <v>1246</v>
      </c>
      <c r="I315" s="9" t="s">
        <v>1247</v>
      </c>
      <c r="J315" s="9"/>
      <c r="K315" s="25" t="s">
        <v>13</v>
      </c>
      <c r="L315" s="9" t="s">
        <v>851</v>
      </c>
      <c r="M315" s="9"/>
    </row>
    <row r="316" spans="1:13" ht="37.5" hidden="1">
      <c r="A316" s="18" t="s">
        <v>284</v>
      </c>
      <c r="B316" s="19" t="str">
        <f>INDEX(메뉴구조!$B$5:$B$300,MATCH($A316,메뉴구조!$A$5:$A$300,0))&amp;""</f>
        <v>거래</v>
      </c>
      <c r="C316" s="19" t="str">
        <f>INDEX(메뉴구조!$C$5:$C$300,MATCH($A316,메뉴구조!$A$5:$A$300,0))&amp;""</f>
        <v>종목</v>
      </c>
      <c r="D316" s="19" t="str">
        <f>INDEX(메뉴구조!$D$5:$D$300,MATCH($A316,메뉴구조!$A$5:$A$300,0))&amp;""</f>
        <v>종목상세</v>
      </c>
      <c r="E316" s="19" t="str">
        <f>INDEX(메뉴구조!$E$5:$E$300,MATCH($A316,메뉴구조!$A$5:$A$300,0))&amp;""</f>
        <v>차트&gt; 체결시세 목록</v>
      </c>
      <c r="F316" s="9" t="str">
        <f>INDEX(메뉴구조!$G$5:$G$300,MATCH($A316,메뉴구조!$A$5:$A$300,0))&amp;""</f>
        <v>거래 / 종목 / 종목상세 / 차트&gt; 체결시세 목록</v>
      </c>
      <c r="G316" s="18">
        <v>4</v>
      </c>
      <c r="H316" s="9" t="s">
        <v>1248</v>
      </c>
      <c r="I316" s="9" t="s">
        <v>1249</v>
      </c>
      <c r="J316" s="9"/>
      <c r="K316" s="25" t="s">
        <v>13</v>
      </c>
      <c r="L316" s="9" t="s">
        <v>851</v>
      </c>
      <c r="M316" s="9"/>
    </row>
    <row r="317" spans="1:13" ht="50" hidden="1">
      <c r="A317" s="18" t="s">
        <v>284</v>
      </c>
      <c r="B317" s="19" t="str">
        <f>INDEX(메뉴구조!$B$5:$B$300,MATCH($A317,메뉴구조!$A$5:$A$300,0))&amp;""</f>
        <v>거래</v>
      </c>
      <c r="C317" s="19" t="str">
        <f>INDEX(메뉴구조!$C$5:$C$300,MATCH($A317,메뉴구조!$A$5:$A$300,0))&amp;""</f>
        <v>종목</v>
      </c>
      <c r="D317" s="19" t="str">
        <f>INDEX(메뉴구조!$D$5:$D$300,MATCH($A317,메뉴구조!$A$5:$A$300,0))&amp;""</f>
        <v>종목상세</v>
      </c>
      <c r="E317" s="19" t="str">
        <f>INDEX(메뉴구조!$E$5:$E$300,MATCH($A317,메뉴구조!$A$5:$A$300,0))&amp;""</f>
        <v>차트&gt; 체결시세 목록</v>
      </c>
      <c r="F317" s="9" t="str">
        <f>INDEX(메뉴구조!$G$5:$G$300,MATCH($A317,메뉴구조!$A$5:$A$300,0))&amp;""</f>
        <v>거래 / 종목 / 종목상세 / 차트&gt; 체결시세 목록</v>
      </c>
      <c r="G317" s="18">
        <v>5</v>
      </c>
      <c r="H317" s="9" t="s">
        <v>1250</v>
      </c>
      <c r="I317" s="9" t="s">
        <v>1251</v>
      </c>
      <c r="J317" s="9"/>
      <c r="K317" s="25" t="s">
        <v>13</v>
      </c>
      <c r="L317" s="9" t="s">
        <v>851</v>
      </c>
      <c r="M317" s="9"/>
    </row>
    <row r="318" spans="1:13" ht="25" hidden="1">
      <c r="A318" s="18" t="s">
        <v>284</v>
      </c>
      <c r="B318" s="19" t="str">
        <f>INDEX(메뉴구조!$B$5:$B$300,MATCH($A318,메뉴구조!$A$5:$A$300,0))&amp;""</f>
        <v>거래</v>
      </c>
      <c r="C318" s="19" t="str">
        <f>INDEX(메뉴구조!$C$5:$C$300,MATCH($A318,메뉴구조!$A$5:$A$300,0))&amp;""</f>
        <v>종목</v>
      </c>
      <c r="D318" s="19" t="str">
        <f>INDEX(메뉴구조!$D$5:$D$300,MATCH($A318,메뉴구조!$A$5:$A$300,0))&amp;""</f>
        <v>종목상세</v>
      </c>
      <c r="E318" s="19" t="str">
        <f>INDEX(메뉴구조!$E$5:$E$300,MATCH($A318,메뉴구조!$A$5:$A$300,0))&amp;""</f>
        <v>차트&gt; 체결시세 목록</v>
      </c>
      <c r="F318" s="9" t="str">
        <f>INDEX(메뉴구조!$G$5:$G$300,MATCH($A318,메뉴구조!$A$5:$A$300,0))&amp;""</f>
        <v>거래 / 종목 / 종목상세 / 차트&gt; 체결시세 목록</v>
      </c>
      <c r="G318" s="18">
        <v>6</v>
      </c>
      <c r="H318" s="9" t="s">
        <v>1252</v>
      </c>
      <c r="I318" s="9" t="s">
        <v>1253</v>
      </c>
      <c r="J318" s="9"/>
      <c r="K318" s="25" t="s">
        <v>13</v>
      </c>
      <c r="L318" s="9" t="s">
        <v>851</v>
      </c>
      <c r="M318" s="9"/>
    </row>
    <row r="319" spans="1:13" ht="25" hidden="1">
      <c r="A319" s="18" t="s">
        <v>287</v>
      </c>
      <c r="B319" s="19" t="str">
        <f>INDEX(메뉴구조!$B$5:$B$300,MATCH($A319,메뉴구조!$A$5:$A$300,0))&amp;""</f>
        <v>거래</v>
      </c>
      <c r="C319" s="19" t="str">
        <f>INDEX(메뉴구조!$C$5:$C$300,MATCH($A319,메뉴구조!$A$5:$A$300,0))&amp;""</f>
        <v>종목</v>
      </c>
      <c r="D319" s="19" t="str">
        <f>INDEX(메뉴구조!$D$5:$D$300,MATCH($A319,메뉴구조!$A$5:$A$300,0))&amp;""</f>
        <v>종목상세</v>
      </c>
      <c r="E319" s="19" t="str">
        <f>INDEX(메뉴구조!$E$5:$E$300,MATCH($A319,메뉴구조!$A$5:$A$300,0))&amp;""</f>
        <v>차트&gt; 일별시세 목록</v>
      </c>
      <c r="F319" s="9" t="str">
        <f>INDEX(메뉴구조!$G$5:$G$300,MATCH($A319,메뉴구조!$A$5:$A$300,0))&amp;""</f>
        <v>거래 / 종목 / 종목상세 / 차트&gt; 일별시세 목록</v>
      </c>
      <c r="G319" s="18">
        <v>1</v>
      </c>
      <c r="H319" s="9" t="s">
        <v>1254</v>
      </c>
      <c r="I319" s="9" t="s">
        <v>1255</v>
      </c>
      <c r="J319" s="9"/>
      <c r="K319" s="25" t="s">
        <v>13</v>
      </c>
      <c r="L319" s="9" t="s">
        <v>851</v>
      </c>
      <c r="M319" s="9"/>
    </row>
    <row r="320" spans="1:13" ht="37.5" hidden="1">
      <c r="A320" s="18" t="s">
        <v>287</v>
      </c>
      <c r="B320" s="19" t="str">
        <f>INDEX(메뉴구조!$B$5:$B$300,MATCH($A320,메뉴구조!$A$5:$A$300,0))&amp;""</f>
        <v>거래</v>
      </c>
      <c r="C320" s="19" t="str">
        <f>INDEX(메뉴구조!$C$5:$C$300,MATCH($A320,메뉴구조!$A$5:$A$300,0))&amp;""</f>
        <v>종목</v>
      </c>
      <c r="D320" s="19" t="str">
        <f>INDEX(메뉴구조!$D$5:$D$300,MATCH($A320,메뉴구조!$A$5:$A$300,0))&amp;""</f>
        <v>종목상세</v>
      </c>
      <c r="E320" s="19" t="str">
        <f>INDEX(메뉴구조!$E$5:$E$300,MATCH($A320,메뉴구조!$A$5:$A$300,0))&amp;""</f>
        <v>차트&gt; 일별시세 목록</v>
      </c>
      <c r="F320" s="9" t="str">
        <f>INDEX(메뉴구조!$G$5:$G$300,MATCH($A320,메뉴구조!$A$5:$A$300,0))&amp;""</f>
        <v>거래 / 종목 / 종목상세 / 차트&gt; 일별시세 목록</v>
      </c>
      <c r="G320" s="18">
        <v>2</v>
      </c>
      <c r="H320" s="9" t="s">
        <v>1256</v>
      </c>
      <c r="I320" s="9" t="s">
        <v>1257</v>
      </c>
      <c r="J320" s="9"/>
      <c r="K320" s="25" t="s">
        <v>13</v>
      </c>
      <c r="L320" s="9" t="s">
        <v>851</v>
      </c>
      <c r="M320" s="9"/>
    </row>
    <row r="321" spans="1:13" ht="25" hidden="1">
      <c r="A321" s="18" t="s">
        <v>287</v>
      </c>
      <c r="B321" s="19" t="str">
        <f>INDEX(메뉴구조!$B$5:$B$300,MATCH($A321,메뉴구조!$A$5:$A$300,0))&amp;""</f>
        <v>거래</v>
      </c>
      <c r="C321" s="19" t="str">
        <f>INDEX(메뉴구조!$C$5:$C$300,MATCH($A321,메뉴구조!$A$5:$A$300,0))&amp;""</f>
        <v>종목</v>
      </c>
      <c r="D321" s="19" t="str">
        <f>INDEX(메뉴구조!$D$5:$D$300,MATCH($A321,메뉴구조!$A$5:$A$300,0))&amp;""</f>
        <v>종목상세</v>
      </c>
      <c r="E321" s="19" t="str">
        <f>INDEX(메뉴구조!$E$5:$E$300,MATCH($A321,메뉴구조!$A$5:$A$300,0))&amp;""</f>
        <v>차트&gt; 일별시세 목록</v>
      </c>
      <c r="F321" s="9" t="str">
        <f>INDEX(메뉴구조!$G$5:$G$300,MATCH($A321,메뉴구조!$A$5:$A$300,0))&amp;""</f>
        <v>거래 / 종목 / 종목상세 / 차트&gt; 일별시세 목록</v>
      </c>
      <c r="G321" s="18">
        <v>3</v>
      </c>
      <c r="H321" s="9" t="s">
        <v>1258</v>
      </c>
      <c r="I321" s="9" t="s">
        <v>1259</v>
      </c>
      <c r="J321" s="9"/>
      <c r="K321" s="25" t="s">
        <v>13</v>
      </c>
      <c r="L321" s="9" t="s">
        <v>851</v>
      </c>
      <c r="M321" s="9"/>
    </row>
    <row r="322" spans="1:13" ht="25" hidden="1">
      <c r="A322" s="18" t="s">
        <v>287</v>
      </c>
      <c r="B322" s="19" t="str">
        <f>INDEX(메뉴구조!$B$5:$B$300,MATCH($A322,메뉴구조!$A$5:$A$300,0))&amp;""</f>
        <v>거래</v>
      </c>
      <c r="C322" s="19" t="str">
        <f>INDEX(메뉴구조!$C$5:$C$300,MATCH($A322,메뉴구조!$A$5:$A$300,0))&amp;""</f>
        <v>종목</v>
      </c>
      <c r="D322" s="19" t="str">
        <f>INDEX(메뉴구조!$D$5:$D$300,MATCH($A322,메뉴구조!$A$5:$A$300,0))&amp;""</f>
        <v>종목상세</v>
      </c>
      <c r="E322" s="19" t="str">
        <f>INDEX(메뉴구조!$E$5:$E$300,MATCH($A322,메뉴구조!$A$5:$A$300,0))&amp;""</f>
        <v>차트&gt; 일별시세 목록</v>
      </c>
      <c r="F322" s="9" t="str">
        <f>INDEX(메뉴구조!$G$5:$G$300,MATCH($A322,메뉴구조!$A$5:$A$300,0))&amp;""</f>
        <v>거래 / 종목 / 종목상세 / 차트&gt; 일별시세 목록</v>
      </c>
      <c r="G322" s="18">
        <v>4</v>
      </c>
      <c r="H322" s="9" t="s">
        <v>1260</v>
      </c>
      <c r="I322" s="9" t="s">
        <v>1261</v>
      </c>
      <c r="J322" s="9"/>
      <c r="K322" s="25" t="s">
        <v>13</v>
      </c>
      <c r="L322" s="9" t="s">
        <v>851</v>
      </c>
      <c r="M322" s="9"/>
    </row>
    <row r="323" spans="1:13" ht="25" hidden="1">
      <c r="A323" s="18" t="s">
        <v>287</v>
      </c>
      <c r="B323" s="19" t="str">
        <f>INDEX(메뉴구조!$B$5:$B$300,MATCH($A323,메뉴구조!$A$5:$A$300,0))&amp;""</f>
        <v>거래</v>
      </c>
      <c r="C323" s="19" t="str">
        <f>INDEX(메뉴구조!$C$5:$C$300,MATCH($A323,메뉴구조!$A$5:$A$300,0))&amp;""</f>
        <v>종목</v>
      </c>
      <c r="D323" s="19" t="str">
        <f>INDEX(메뉴구조!$D$5:$D$300,MATCH($A323,메뉴구조!$A$5:$A$300,0))&amp;""</f>
        <v>종목상세</v>
      </c>
      <c r="E323" s="19" t="str">
        <f>INDEX(메뉴구조!$E$5:$E$300,MATCH($A323,메뉴구조!$A$5:$A$300,0))&amp;""</f>
        <v>차트&gt; 일별시세 목록</v>
      </c>
      <c r="F323" s="9" t="str">
        <f>INDEX(메뉴구조!$G$5:$G$300,MATCH($A323,메뉴구조!$A$5:$A$300,0))&amp;""</f>
        <v>거래 / 종목 / 종목상세 / 차트&gt; 일별시세 목록</v>
      </c>
      <c r="G323" s="18">
        <v>5</v>
      </c>
      <c r="H323" s="9" t="s">
        <v>1252</v>
      </c>
      <c r="I323" s="9" t="s">
        <v>1262</v>
      </c>
      <c r="J323" s="9"/>
      <c r="K323" s="25" t="s">
        <v>13</v>
      </c>
      <c r="L323" s="9" t="s">
        <v>851</v>
      </c>
      <c r="M323" s="9"/>
    </row>
    <row r="324" spans="1:13" ht="25" hidden="1">
      <c r="A324" s="18" t="s">
        <v>290</v>
      </c>
      <c r="B324" s="19" t="str">
        <f>INDEX(메뉴구조!$B$5:$B$300,MATCH($A324,메뉴구조!$A$5:$A$300,0))&amp;""</f>
        <v>거래</v>
      </c>
      <c r="C324" s="19" t="str">
        <f>INDEX(메뉴구조!$C$5:$C$300,MATCH($A324,메뉴구조!$A$5:$A$300,0))&amp;""</f>
        <v>종목</v>
      </c>
      <c r="D324" s="19" t="str">
        <f>INDEX(메뉴구조!$D$5:$D$300,MATCH($A324,메뉴구조!$A$5:$A$300,0))&amp;""</f>
        <v>종목상세</v>
      </c>
      <c r="E324" s="19" t="str">
        <f>INDEX(메뉴구조!$E$5:$E$300,MATCH($A324,메뉴구조!$A$5:$A$300,0))&amp;""</f>
        <v>내 주문</v>
      </c>
      <c r="F324" s="9" t="str">
        <f>INDEX(메뉴구조!$G$5:$G$300,MATCH($A324,메뉴구조!$A$5:$A$300,0))&amp;""</f>
        <v>거래 / 종목 / 종목상세 / 내 주문</v>
      </c>
      <c r="G324" s="18">
        <v>1</v>
      </c>
      <c r="H324" s="9" t="s">
        <v>849</v>
      </c>
      <c r="I324" s="9" t="s">
        <v>1263</v>
      </c>
      <c r="J324" s="9"/>
      <c r="K324" s="18" t="s">
        <v>17</v>
      </c>
      <c r="L324" s="9"/>
      <c r="M324" s="9"/>
    </row>
    <row r="325" spans="1:13" ht="125" hidden="1">
      <c r="A325" s="18" t="s">
        <v>290</v>
      </c>
      <c r="B325" s="19" t="str">
        <f>INDEX(메뉴구조!$B$5:$B$300,MATCH($A325,메뉴구조!$A$5:$A$300,0))&amp;""</f>
        <v>거래</v>
      </c>
      <c r="C325" s="19" t="str">
        <f>INDEX(메뉴구조!$C$5:$C$300,MATCH($A325,메뉴구조!$A$5:$A$300,0))&amp;""</f>
        <v>종목</v>
      </c>
      <c r="D325" s="19" t="str">
        <f>INDEX(메뉴구조!$D$5:$D$300,MATCH($A325,메뉴구조!$A$5:$A$300,0))&amp;""</f>
        <v>종목상세</v>
      </c>
      <c r="E325" s="19" t="str">
        <f>INDEX(메뉴구조!$E$5:$E$300,MATCH($A325,메뉴구조!$A$5:$A$300,0))&amp;""</f>
        <v>내 주문</v>
      </c>
      <c r="F325" s="9" t="str">
        <f>INDEX(메뉴구조!$G$5:$G$300,MATCH($A325,메뉴구조!$A$5:$A$300,0))&amp;""</f>
        <v>거래 / 종목 / 종목상세 / 내 주문</v>
      </c>
      <c r="G325" s="18">
        <v>2</v>
      </c>
      <c r="H325" s="31" t="s">
        <v>1264</v>
      </c>
      <c r="I325" s="31" t="s">
        <v>1265</v>
      </c>
      <c r="J325" s="9" t="s">
        <v>1266</v>
      </c>
      <c r="K325" s="20" t="s">
        <v>9</v>
      </c>
      <c r="L325" s="9" t="s">
        <v>1267</v>
      </c>
      <c r="M325" s="9" t="s">
        <v>1268</v>
      </c>
    </row>
    <row r="326" spans="1:13" ht="75" hidden="1">
      <c r="A326" s="18" t="s">
        <v>290</v>
      </c>
      <c r="B326" s="19" t="str">
        <f>INDEX(메뉴구조!$B$5:$B$300,MATCH($A326,메뉴구조!$A$5:$A$300,0))&amp;""</f>
        <v>거래</v>
      </c>
      <c r="C326" s="19" t="str">
        <f>INDEX(메뉴구조!$C$5:$C$300,MATCH($A326,메뉴구조!$A$5:$A$300,0))&amp;""</f>
        <v>종목</v>
      </c>
      <c r="D326" s="19" t="str">
        <f>INDEX(메뉴구조!$D$5:$D$300,MATCH($A326,메뉴구조!$A$5:$A$300,0))&amp;""</f>
        <v>종목상세</v>
      </c>
      <c r="E326" s="19" t="str">
        <f>INDEX(메뉴구조!$E$5:$E$300,MATCH($A326,메뉴구조!$A$5:$A$300,0))&amp;""</f>
        <v>내 주문</v>
      </c>
      <c r="F326" s="9" t="str">
        <f>INDEX(메뉴구조!$G$5:$G$300,MATCH($A326,메뉴구조!$A$5:$A$300,0))&amp;""</f>
        <v>거래 / 종목 / 종목상세 / 내 주문</v>
      </c>
      <c r="G326" s="18">
        <v>3</v>
      </c>
      <c r="H326" s="31" t="s">
        <v>1269</v>
      </c>
      <c r="I326" s="31" t="s">
        <v>1270</v>
      </c>
      <c r="J326" s="9"/>
      <c r="K326" s="20" t="s">
        <v>9</v>
      </c>
      <c r="L326" s="9" t="s">
        <v>1271</v>
      </c>
      <c r="M326" s="9" t="s">
        <v>1272</v>
      </c>
    </row>
    <row r="327" spans="1:13" ht="137.5" hidden="1">
      <c r="A327" s="18" t="s">
        <v>290</v>
      </c>
      <c r="B327" s="19" t="str">
        <f>INDEX(메뉴구조!$B$5:$B$300,MATCH($A327,메뉴구조!$A$5:$A$300,0))&amp;""</f>
        <v>거래</v>
      </c>
      <c r="C327" s="19" t="str">
        <f>INDEX(메뉴구조!$C$5:$C$300,MATCH($A327,메뉴구조!$A$5:$A$300,0))&amp;""</f>
        <v>종목</v>
      </c>
      <c r="D327" s="19" t="str">
        <f>INDEX(메뉴구조!$D$5:$D$300,MATCH($A327,메뉴구조!$A$5:$A$300,0))&amp;""</f>
        <v>종목상세</v>
      </c>
      <c r="E327" s="19" t="str">
        <f>INDEX(메뉴구조!$E$5:$E$300,MATCH($A327,메뉴구조!$A$5:$A$300,0))&amp;""</f>
        <v>내 주문</v>
      </c>
      <c r="F327" s="9" t="str">
        <f>INDEX(메뉴구조!$G$5:$G$300,MATCH($A327,메뉴구조!$A$5:$A$300,0))&amp;""</f>
        <v>거래 / 종목 / 종목상세 / 내 주문</v>
      </c>
      <c r="G327" s="18">
        <v>4</v>
      </c>
      <c r="H327" s="31" t="s">
        <v>1273</v>
      </c>
      <c r="I327" s="31" t="s">
        <v>1274</v>
      </c>
      <c r="J327" s="9" t="s">
        <v>1275</v>
      </c>
      <c r="K327" s="20" t="s">
        <v>9</v>
      </c>
      <c r="L327" s="9" t="s">
        <v>1276</v>
      </c>
      <c r="M327" s="9" t="s">
        <v>1277</v>
      </c>
    </row>
    <row r="328" spans="1:13" ht="25" hidden="1">
      <c r="A328" s="18" t="s">
        <v>290</v>
      </c>
      <c r="B328" s="19" t="str">
        <f>INDEX(메뉴구조!$B$5:$B$300,MATCH($A328,메뉴구조!$A$5:$A$300,0))&amp;""</f>
        <v>거래</v>
      </c>
      <c r="C328" s="19" t="str">
        <f>INDEX(메뉴구조!$C$5:$C$300,MATCH($A328,메뉴구조!$A$5:$A$300,0))&amp;""</f>
        <v>종목</v>
      </c>
      <c r="D328" s="19" t="str">
        <f>INDEX(메뉴구조!$D$5:$D$300,MATCH($A328,메뉴구조!$A$5:$A$300,0))&amp;""</f>
        <v>종목상세</v>
      </c>
      <c r="E328" s="19" t="str">
        <f>INDEX(메뉴구조!$E$5:$E$300,MATCH($A328,메뉴구조!$A$5:$A$300,0))&amp;""</f>
        <v>내 주문</v>
      </c>
      <c r="F328" s="9" t="str">
        <f>INDEX(메뉴구조!$G$5:$G$300,MATCH($A328,메뉴구조!$A$5:$A$300,0))&amp;""</f>
        <v>거래 / 종목 / 종목상세 / 내 주문</v>
      </c>
      <c r="G328" s="18">
        <v>5</v>
      </c>
      <c r="H328" s="9" t="s">
        <v>863</v>
      </c>
      <c r="I328" s="9" t="s">
        <v>1278</v>
      </c>
      <c r="J328" s="9"/>
      <c r="K328" s="18" t="s">
        <v>17</v>
      </c>
      <c r="L328" s="9"/>
      <c r="M328" s="9"/>
    </row>
    <row r="329" spans="1:13" ht="37.5" hidden="1">
      <c r="A329" s="18" t="s">
        <v>294</v>
      </c>
      <c r="B329" s="19" t="str">
        <f>INDEX(메뉴구조!$B$5:$B$300,MATCH($A329,메뉴구조!$A$5:$A$300,0))&amp;""</f>
        <v>거래</v>
      </c>
      <c r="C329" s="19" t="str">
        <f>INDEX(메뉴구조!$C$5:$C$300,MATCH($A329,메뉴구조!$A$5:$A$300,0))&amp;""</f>
        <v>종목</v>
      </c>
      <c r="D329" s="19" t="str">
        <f>INDEX(메뉴구조!$D$5:$D$300,MATCH($A329,메뉴구조!$A$5:$A$300,0))&amp;""</f>
        <v>종목상세</v>
      </c>
      <c r="E329" s="19" t="str">
        <f>INDEX(메뉴구조!$E$5:$E$300,MATCH($A329,메뉴구조!$A$5:$A$300,0))&amp;""</f>
        <v>내 주문</v>
      </c>
      <c r="F329" s="9" t="str">
        <f>INDEX(메뉴구조!$G$5:$G$300,MATCH($A329,메뉴구조!$A$5:$A$300,0))&amp;""</f>
        <v>거래 / 종목 / 종목상세 / 내 주문</v>
      </c>
      <c r="G329" s="18">
        <v>1</v>
      </c>
      <c r="H329" s="9" t="s">
        <v>1279</v>
      </c>
      <c r="I329" s="9" t="s">
        <v>1280</v>
      </c>
      <c r="J329" s="9"/>
      <c r="K329" s="18" t="s">
        <v>17</v>
      </c>
      <c r="L329" s="9"/>
      <c r="M329" s="9"/>
    </row>
    <row r="330" spans="1:13" ht="37.5" hidden="1">
      <c r="A330" s="18" t="s">
        <v>294</v>
      </c>
      <c r="B330" s="19" t="str">
        <f>INDEX(메뉴구조!$B$5:$B$300,MATCH($A330,메뉴구조!$A$5:$A$300,0))&amp;""</f>
        <v>거래</v>
      </c>
      <c r="C330" s="19" t="str">
        <f>INDEX(메뉴구조!$C$5:$C$300,MATCH($A330,메뉴구조!$A$5:$A$300,0))&amp;""</f>
        <v>종목</v>
      </c>
      <c r="D330" s="19" t="str">
        <f>INDEX(메뉴구조!$D$5:$D$300,MATCH($A330,메뉴구조!$A$5:$A$300,0))&amp;""</f>
        <v>종목상세</v>
      </c>
      <c r="E330" s="19" t="str">
        <f>INDEX(메뉴구조!$E$5:$E$300,MATCH($A330,메뉴구조!$A$5:$A$300,0))&amp;""</f>
        <v>내 주문</v>
      </c>
      <c r="F330" s="9" t="str">
        <f>INDEX(메뉴구조!$G$5:$G$300,MATCH($A330,메뉴구조!$A$5:$A$300,0))&amp;""</f>
        <v>거래 / 종목 / 종목상세 / 내 주문</v>
      </c>
      <c r="G330" s="18">
        <v>2</v>
      </c>
      <c r="H330" s="31" t="s">
        <v>1281</v>
      </c>
      <c r="I330" s="31" t="s">
        <v>1282</v>
      </c>
      <c r="J330" s="9"/>
      <c r="K330" s="20" t="s">
        <v>9</v>
      </c>
      <c r="L330" s="9" t="s">
        <v>1267</v>
      </c>
      <c r="M330" s="9" t="s">
        <v>1283</v>
      </c>
    </row>
    <row r="331" spans="1:13" hidden="1">
      <c r="A331" s="18" t="s">
        <v>294</v>
      </c>
      <c r="B331" s="19" t="str">
        <f>INDEX(메뉴구조!$B$5:$B$300,MATCH($A331,메뉴구조!$A$5:$A$300,0))&amp;""</f>
        <v>거래</v>
      </c>
      <c r="C331" s="19" t="str">
        <f>INDEX(메뉴구조!$C$5:$C$300,MATCH($A331,메뉴구조!$A$5:$A$300,0))&amp;""</f>
        <v>종목</v>
      </c>
      <c r="D331" s="19" t="str">
        <f>INDEX(메뉴구조!$D$5:$D$300,MATCH($A331,메뉴구조!$A$5:$A$300,0))&amp;""</f>
        <v>종목상세</v>
      </c>
      <c r="E331" s="19" t="str">
        <f>INDEX(메뉴구조!$E$5:$E$300,MATCH($A331,메뉴구조!$A$5:$A$300,0))&amp;""</f>
        <v>내 주문</v>
      </c>
      <c r="F331" s="9" t="str">
        <f>INDEX(메뉴구조!$G$5:$G$300,MATCH($A331,메뉴구조!$A$5:$A$300,0))&amp;""</f>
        <v>거래 / 종목 / 종목상세 / 내 주문</v>
      </c>
      <c r="G331" s="18">
        <v>3</v>
      </c>
      <c r="H331" s="9" t="s">
        <v>1284</v>
      </c>
      <c r="I331" s="9" t="s">
        <v>1285</v>
      </c>
      <c r="J331" s="9"/>
      <c r="K331" s="18" t="s">
        <v>17</v>
      </c>
      <c r="L331" s="9"/>
      <c r="M331" s="9"/>
    </row>
    <row r="332" spans="1:13" ht="37.5" hidden="1">
      <c r="A332" s="18" t="s">
        <v>294</v>
      </c>
      <c r="B332" s="19" t="str">
        <f>INDEX(메뉴구조!$B$5:$B$300,MATCH($A332,메뉴구조!$A$5:$A$300,0))&amp;""</f>
        <v>거래</v>
      </c>
      <c r="C332" s="19" t="str">
        <f>INDEX(메뉴구조!$C$5:$C$300,MATCH($A332,메뉴구조!$A$5:$A$300,0))&amp;""</f>
        <v>종목</v>
      </c>
      <c r="D332" s="19" t="str">
        <f>INDEX(메뉴구조!$D$5:$D$300,MATCH($A332,메뉴구조!$A$5:$A$300,0))&amp;""</f>
        <v>종목상세</v>
      </c>
      <c r="E332" s="19" t="str">
        <f>INDEX(메뉴구조!$E$5:$E$300,MATCH($A332,메뉴구조!$A$5:$A$300,0))&amp;""</f>
        <v>내 주문</v>
      </c>
      <c r="F332" s="9" t="str">
        <f>INDEX(메뉴구조!$G$5:$G$300,MATCH($A332,메뉴구조!$A$5:$A$300,0))&amp;""</f>
        <v>거래 / 종목 / 종목상세 / 내 주문</v>
      </c>
      <c r="G332" s="18">
        <v>4</v>
      </c>
      <c r="H332" s="9" t="s">
        <v>1286</v>
      </c>
      <c r="I332" s="9" t="s">
        <v>1287</v>
      </c>
      <c r="J332" s="9"/>
      <c r="K332" s="18" t="s">
        <v>17</v>
      </c>
      <c r="L332" s="9"/>
      <c r="M332" s="9"/>
    </row>
    <row r="333" spans="1:13" hidden="1">
      <c r="A333" s="18" t="s">
        <v>294</v>
      </c>
      <c r="B333" s="19" t="str">
        <f>INDEX(메뉴구조!$B$5:$B$300,MATCH($A333,메뉴구조!$A$5:$A$300,0))&amp;""</f>
        <v>거래</v>
      </c>
      <c r="C333" s="19" t="str">
        <f>INDEX(메뉴구조!$C$5:$C$300,MATCH($A333,메뉴구조!$A$5:$A$300,0))&amp;""</f>
        <v>종목</v>
      </c>
      <c r="D333" s="19" t="str">
        <f>INDEX(메뉴구조!$D$5:$D$300,MATCH($A333,메뉴구조!$A$5:$A$300,0))&amp;""</f>
        <v>종목상세</v>
      </c>
      <c r="E333" s="19" t="str">
        <f>INDEX(메뉴구조!$E$5:$E$300,MATCH($A333,메뉴구조!$A$5:$A$300,0))&amp;""</f>
        <v>내 주문</v>
      </c>
      <c r="F333" s="9" t="str">
        <f>INDEX(메뉴구조!$G$5:$G$300,MATCH($A333,메뉴구조!$A$5:$A$300,0))&amp;""</f>
        <v>거래 / 종목 / 종목상세 / 내 주문</v>
      </c>
      <c r="G333" s="18">
        <v>5</v>
      </c>
      <c r="H333" s="9" t="s">
        <v>1288</v>
      </c>
      <c r="I333" s="9" t="s">
        <v>1289</v>
      </c>
      <c r="J333" s="9"/>
      <c r="K333" s="18" t="s">
        <v>17</v>
      </c>
      <c r="L333" s="9"/>
      <c r="M333" s="9"/>
    </row>
    <row r="334" spans="1:13" ht="37.5" hidden="1">
      <c r="A334" s="18" t="s">
        <v>294</v>
      </c>
      <c r="B334" s="19" t="str">
        <f>INDEX(메뉴구조!$B$5:$B$300,MATCH($A334,메뉴구조!$A$5:$A$300,0))&amp;""</f>
        <v>거래</v>
      </c>
      <c r="C334" s="19" t="str">
        <f>INDEX(메뉴구조!$C$5:$C$300,MATCH($A334,메뉴구조!$A$5:$A$300,0))&amp;""</f>
        <v>종목</v>
      </c>
      <c r="D334" s="19" t="str">
        <f>INDEX(메뉴구조!$D$5:$D$300,MATCH($A334,메뉴구조!$A$5:$A$300,0))&amp;""</f>
        <v>종목상세</v>
      </c>
      <c r="E334" s="19" t="str">
        <f>INDEX(메뉴구조!$E$5:$E$300,MATCH($A334,메뉴구조!$A$5:$A$300,0))&amp;""</f>
        <v>내 주문</v>
      </c>
      <c r="F334" s="9" t="str">
        <f>INDEX(메뉴구조!$G$5:$G$300,MATCH($A334,메뉴구조!$A$5:$A$300,0))&amp;""</f>
        <v>거래 / 종목 / 종목상세 / 내 주문</v>
      </c>
      <c r="G334" s="18">
        <v>6</v>
      </c>
      <c r="H334" s="31" t="s">
        <v>1290</v>
      </c>
      <c r="I334" s="31" t="s">
        <v>1291</v>
      </c>
      <c r="J334" s="9"/>
      <c r="K334" s="20" t="s">
        <v>9</v>
      </c>
      <c r="L334" s="9" t="s">
        <v>1292</v>
      </c>
      <c r="M334" s="9" t="s">
        <v>1293</v>
      </c>
    </row>
    <row r="335" spans="1:13" ht="25" hidden="1">
      <c r="A335" s="18" t="s">
        <v>296</v>
      </c>
      <c r="B335" s="19" t="str">
        <f>INDEX(메뉴구조!$B$5:$B$300,MATCH($A335,메뉴구조!$A$5:$A$300,0))&amp;""</f>
        <v>거래</v>
      </c>
      <c r="C335" s="19" t="str">
        <f>INDEX(메뉴구조!$C$5:$C$300,MATCH($A335,메뉴구조!$A$5:$A$300,0))&amp;""</f>
        <v>종목</v>
      </c>
      <c r="D335" s="19" t="str">
        <f>INDEX(메뉴구조!$D$5:$D$300,MATCH($A335,메뉴구조!$A$5:$A$300,0))&amp;""</f>
        <v>종목상세</v>
      </c>
      <c r="E335" s="19" t="str">
        <f>INDEX(메뉴구조!$E$5:$E$300,MATCH($A335,메뉴구조!$A$5:$A$300,0))&amp;""</f>
        <v>내 주문&gt; 계좌변경</v>
      </c>
      <c r="F335" s="9" t="str">
        <f>INDEX(메뉴구조!$G$5:$G$300,MATCH($A335,메뉴구조!$A$5:$A$300,0))&amp;""</f>
        <v>거래 / 종목 / 종목상세 / 내 주문&gt; 계좌변경</v>
      </c>
      <c r="G335" s="18">
        <v>1</v>
      </c>
      <c r="H335" s="28" t="s">
        <v>1294</v>
      </c>
      <c r="I335" s="28" t="s">
        <v>1295</v>
      </c>
      <c r="J335" s="28"/>
      <c r="K335" s="18" t="s">
        <v>15</v>
      </c>
      <c r="L335" s="9" t="s">
        <v>1296</v>
      </c>
      <c r="M335" s="9"/>
    </row>
    <row r="336" spans="1:13" ht="25" hidden="1">
      <c r="A336" s="18" t="s">
        <v>296</v>
      </c>
      <c r="B336" s="19" t="str">
        <f>INDEX(메뉴구조!$B$5:$B$300,MATCH($A336,메뉴구조!$A$5:$A$300,0))&amp;""</f>
        <v>거래</v>
      </c>
      <c r="C336" s="19" t="str">
        <f>INDEX(메뉴구조!$C$5:$C$300,MATCH($A336,메뉴구조!$A$5:$A$300,0))&amp;""</f>
        <v>종목</v>
      </c>
      <c r="D336" s="19" t="str">
        <f>INDEX(메뉴구조!$D$5:$D$300,MATCH($A336,메뉴구조!$A$5:$A$300,0))&amp;""</f>
        <v>종목상세</v>
      </c>
      <c r="E336" s="19" t="str">
        <f>INDEX(메뉴구조!$E$5:$E$300,MATCH($A336,메뉴구조!$A$5:$A$300,0))&amp;""</f>
        <v>내 주문&gt; 계좌변경</v>
      </c>
      <c r="F336" s="9" t="str">
        <f>INDEX(메뉴구조!$G$5:$G$300,MATCH($A336,메뉴구조!$A$5:$A$300,0))&amp;""</f>
        <v>거래 / 종목 / 종목상세 / 내 주문&gt; 계좌변경</v>
      </c>
      <c r="G336" s="18">
        <v>2</v>
      </c>
      <c r="H336" s="28" t="s">
        <v>1297</v>
      </c>
      <c r="I336" s="28" t="s">
        <v>1298</v>
      </c>
      <c r="J336" s="28"/>
      <c r="K336" s="18" t="s">
        <v>15</v>
      </c>
      <c r="L336" s="9" t="s">
        <v>1296</v>
      </c>
      <c r="M336" s="9"/>
    </row>
    <row r="337" spans="1:13" ht="50" hidden="1">
      <c r="A337" s="18" t="s">
        <v>296</v>
      </c>
      <c r="B337" s="19" t="str">
        <f>INDEX(메뉴구조!$B$5:$B$300,MATCH($A337,메뉴구조!$A$5:$A$300,0))&amp;""</f>
        <v>거래</v>
      </c>
      <c r="C337" s="19" t="str">
        <f>INDEX(메뉴구조!$C$5:$C$300,MATCH($A337,메뉴구조!$A$5:$A$300,0))&amp;""</f>
        <v>종목</v>
      </c>
      <c r="D337" s="19" t="str">
        <f>INDEX(메뉴구조!$D$5:$D$300,MATCH($A337,메뉴구조!$A$5:$A$300,0))&amp;""</f>
        <v>종목상세</v>
      </c>
      <c r="E337" s="19" t="str">
        <f>INDEX(메뉴구조!$E$5:$E$300,MATCH($A337,메뉴구조!$A$5:$A$300,0))&amp;""</f>
        <v>내 주문&gt; 계좌변경</v>
      </c>
      <c r="F337" s="9" t="str">
        <f>INDEX(메뉴구조!$G$5:$G$300,MATCH($A337,메뉴구조!$A$5:$A$300,0))&amp;""</f>
        <v>거래 / 종목 / 종목상세 / 내 주문&gt; 계좌변경</v>
      </c>
      <c r="G337" s="18">
        <v>3</v>
      </c>
      <c r="H337" s="28" t="s">
        <v>1299</v>
      </c>
      <c r="I337" s="28" t="s">
        <v>1300</v>
      </c>
      <c r="J337" s="28"/>
      <c r="K337" s="18" t="s">
        <v>15</v>
      </c>
      <c r="L337" s="9" t="s">
        <v>1296</v>
      </c>
      <c r="M337" s="9"/>
    </row>
    <row r="338" spans="1:13" ht="25" hidden="1">
      <c r="A338" s="18" t="s">
        <v>296</v>
      </c>
      <c r="B338" s="19" t="str">
        <f>INDEX(메뉴구조!$B$5:$B$300,MATCH($A338,메뉴구조!$A$5:$A$300,0))&amp;""</f>
        <v>거래</v>
      </c>
      <c r="C338" s="19" t="str">
        <f>INDEX(메뉴구조!$C$5:$C$300,MATCH($A338,메뉴구조!$A$5:$A$300,0))&amp;""</f>
        <v>종목</v>
      </c>
      <c r="D338" s="19" t="str">
        <f>INDEX(메뉴구조!$D$5:$D$300,MATCH($A338,메뉴구조!$A$5:$A$300,0))&amp;""</f>
        <v>종목상세</v>
      </c>
      <c r="E338" s="19" t="str">
        <f>INDEX(메뉴구조!$E$5:$E$300,MATCH($A338,메뉴구조!$A$5:$A$300,0))&amp;""</f>
        <v>내 주문&gt; 계좌변경</v>
      </c>
      <c r="F338" s="9" t="str">
        <f>INDEX(메뉴구조!$G$5:$G$300,MATCH($A338,메뉴구조!$A$5:$A$300,0))&amp;""</f>
        <v>거래 / 종목 / 종목상세 / 내 주문&gt; 계좌변경</v>
      </c>
      <c r="G338" s="18">
        <v>4</v>
      </c>
      <c r="H338" s="28" t="s">
        <v>1301</v>
      </c>
      <c r="I338" s="28" t="s">
        <v>1302</v>
      </c>
      <c r="J338" s="28"/>
      <c r="K338" s="18" t="s">
        <v>15</v>
      </c>
      <c r="L338" s="9" t="s">
        <v>1296</v>
      </c>
      <c r="M338" s="9"/>
    </row>
    <row r="339" spans="1:13" ht="25" hidden="1">
      <c r="A339" s="18" t="s">
        <v>296</v>
      </c>
      <c r="B339" s="19" t="str">
        <f>INDEX(메뉴구조!$B$5:$B$300,MATCH($A339,메뉴구조!$A$5:$A$300,0))&amp;""</f>
        <v>거래</v>
      </c>
      <c r="C339" s="19" t="str">
        <f>INDEX(메뉴구조!$C$5:$C$300,MATCH($A339,메뉴구조!$A$5:$A$300,0))&amp;""</f>
        <v>종목</v>
      </c>
      <c r="D339" s="19" t="str">
        <f>INDEX(메뉴구조!$D$5:$D$300,MATCH($A339,메뉴구조!$A$5:$A$300,0))&amp;""</f>
        <v>종목상세</v>
      </c>
      <c r="E339" s="19" t="str">
        <f>INDEX(메뉴구조!$E$5:$E$300,MATCH($A339,메뉴구조!$A$5:$A$300,0))&amp;""</f>
        <v>내 주문&gt; 계좌변경</v>
      </c>
      <c r="F339" s="9" t="str">
        <f>INDEX(메뉴구조!$G$5:$G$300,MATCH($A339,메뉴구조!$A$5:$A$300,0))&amp;""</f>
        <v>거래 / 종목 / 종목상세 / 내 주문&gt; 계좌변경</v>
      </c>
      <c r="G339" s="18">
        <v>5</v>
      </c>
      <c r="H339" s="28" t="s">
        <v>1303</v>
      </c>
      <c r="I339" s="28" t="s">
        <v>1304</v>
      </c>
      <c r="J339" s="28"/>
      <c r="K339" s="18" t="s">
        <v>15</v>
      </c>
      <c r="L339" s="9" t="s">
        <v>1296</v>
      </c>
      <c r="M339" s="9"/>
    </row>
    <row r="340" spans="1:13" ht="25" hidden="1">
      <c r="A340" s="18" t="s">
        <v>296</v>
      </c>
      <c r="B340" s="19" t="str">
        <f>INDEX(메뉴구조!$B$5:$B$300,MATCH($A340,메뉴구조!$A$5:$A$300,0))&amp;""</f>
        <v>거래</v>
      </c>
      <c r="C340" s="19" t="str">
        <f>INDEX(메뉴구조!$C$5:$C$300,MATCH($A340,메뉴구조!$A$5:$A$300,0))&amp;""</f>
        <v>종목</v>
      </c>
      <c r="D340" s="19" t="str">
        <f>INDEX(메뉴구조!$D$5:$D$300,MATCH($A340,메뉴구조!$A$5:$A$300,0))&amp;""</f>
        <v>종목상세</v>
      </c>
      <c r="E340" s="19" t="str">
        <f>INDEX(메뉴구조!$E$5:$E$300,MATCH($A340,메뉴구조!$A$5:$A$300,0))&amp;""</f>
        <v>내 주문&gt; 계좌변경</v>
      </c>
      <c r="F340" s="9" t="str">
        <f>INDEX(메뉴구조!$G$5:$G$300,MATCH($A340,메뉴구조!$A$5:$A$300,0))&amp;""</f>
        <v>거래 / 종목 / 종목상세 / 내 주문&gt; 계좌변경</v>
      </c>
      <c r="G340" s="18">
        <v>6</v>
      </c>
      <c r="H340" s="28" t="s">
        <v>1305</v>
      </c>
      <c r="I340" s="28" t="s">
        <v>1306</v>
      </c>
      <c r="J340" s="28"/>
      <c r="K340" s="18" t="s">
        <v>15</v>
      </c>
      <c r="L340" s="9" t="s">
        <v>1296</v>
      </c>
      <c r="M340" s="9"/>
    </row>
    <row r="341" spans="1:13" ht="25" hidden="1">
      <c r="A341" s="18" t="s">
        <v>300</v>
      </c>
      <c r="B341" s="19" t="str">
        <f>INDEX(메뉴구조!$B$5:$B$300,MATCH($A341,메뉴구조!$A$5:$A$300,0))&amp;""</f>
        <v>거래</v>
      </c>
      <c r="C341" s="19" t="str">
        <f>INDEX(메뉴구조!$C$5:$C$300,MATCH($A341,메뉴구조!$A$5:$A$300,0))&amp;""</f>
        <v>종목</v>
      </c>
      <c r="D341" s="19" t="str">
        <f>INDEX(메뉴구조!$D$5:$D$300,MATCH($A341,메뉴구조!$A$5:$A$300,0))&amp;""</f>
        <v>종목상세</v>
      </c>
      <c r="E341" s="19" t="str">
        <f>INDEX(메뉴구조!$E$5:$E$300,MATCH($A341,메뉴구조!$A$5:$A$300,0))&amp;""</f>
        <v>내 주문&gt; 필터</v>
      </c>
      <c r="F341" s="9" t="str">
        <f>INDEX(메뉴구조!$G$5:$G$300,MATCH($A341,메뉴구조!$A$5:$A$300,0))&amp;""</f>
        <v>거래 / 종목 / 종목상세 / 내 주문&gt; 필터</v>
      </c>
      <c r="G341" s="18">
        <v>1</v>
      </c>
      <c r="H341" s="9" t="s">
        <v>1307</v>
      </c>
      <c r="I341" s="9" t="s">
        <v>1308</v>
      </c>
      <c r="J341" s="9"/>
      <c r="K341" s="18" t="s">
        <v>17</v>
      </c>
      <c r="L341" s="9"/>
      <c r="M341" s="9"/>
    </row>
    <row r="342" spans="1:13" ht="87.5" hidden="1">
      <c r="A342" s="18" t="s">
        <v>300</v>
      </c>
      <c r="B342" s="19" t="str">
        <f>INDEX(메뉴구조!$B$5:$B$300,MATCH($A342,메뉴구조!$A$5:$A$300,0))&amp;""</f>
        <v>거래</v>
      </c>
      <c r="C342" s="19" t="str">
        <f>INDEX(메뉴구조!$C$5:$C$300,MATCH($A342,메뉴구조!$A$5:$A$300,0))&amp;""</f>
        <v>종목</v>
      </c>
      <c r="D342" s="19" t="str">
        <f>INDEX(메뉴구조!$D$5:$D$300,MATCH($A342,메뉴구조!$A$5:$A$300,0))&amp;""</f>
        <v>종목상세</v>
      </c>
      <c r="E342" s="19" t="str">
        <f>INDEX(메뉴구조!$E$5:$E$300,MATCH($A342,메뉴구조!$A$5:$A$300,0))&amp;""</f>
        <v>내 주문&gt; 필터</v>
      </c>
      <c r="F342" s="9" t="str">
        <f>INDEX(메뉴구조!$G$5:$G$300,MATCH($A342,메뉴구조!$A$5:$A$300,0))&amp;""</f>
        <v>거래 / 종목 / 종목상세 / 내 주문&gt; 필터</v>
      </c>
      <c r="G342" s="18">
        <v>2</v>
      </c>
      <c r="H342" s="31" t="s">
        <v>1309</v>
      </c>
      <c r="I342" s="31" t="s">
        <v>1310</v>
      </c>
      <c r="J342" s="9"/>
      <c r="K342" s="20" t="s">
        <v>9</v>
      </c>
      <c r="L342" s="9" t="s">
        <v>1311</v>
      </c>
      <c r="M342" s="9" t="s">
        <v>1312</v>
      </c>
    </row>
    <row r="343" spans="1:13" ht="25" hidden="1">
      <c r="A343" s="18" t="s">
        <v>300</v>
      </c>
      <c r="B343" s="19" t="str">
        <f>INDEX(메뉴구조!$B$5:$B$300,MATCH($A343,메뉴구조!$A$5:$A$300,0))&amp;""</f>
        <v>거래</v>
      </c>
      <c r="C343" s="19" t="str">
        <f>INDEX(메뉴구조!$C$5:$C$300,MATCH($A343,메뉴구조!$A$5:$A$300,0))&amp;""</f>
        <v>종목</v>
      </c>
      <c r="D343" s="19" t="str">
        <f>INDEX(메뉴구조!$D$5:$D$300,MATCH($A343,메뉴구조!$A$5:$A$300,0))&amp;""</f>
        <v>종목상세</v>
      </c>
      <c r="E343" s="19" t="str">
        <f>INDEX(메뉴구조!$E$5:$E$300,MATCH($A343,메뉴구조!$A$5:$A$300,0))&amp;""</f>
        <v>내 주문&gt; 필터</v>
      </c>
      <c r="F343" s="9" t="str">
        <f>INDEX(메뉴구조!$G$5:$G$300,MATCH($A343,메뉴구조!$A$5:$A$300,0))&amp;""</f>
        <v>거래 / 종목 / 종목상세 / 내 주문&gt; 필터</v>
      </c>
      <c r="G343" s="18">
        <v>3</v>
      </c>
      <c r="H343" s="9" t="s">
        <v>1313</v>
      </c>
      <c r="I343" s="9" t="s">
        <v>1314</v>
      </c>
      <c r="J343" s="9"/>
      <c r="K343" s="18" t="s">
        <v>17</v>
      </c>
      <c r="L343" s="9"/>
      <c r="M343" s="9"/>
    </row>
    <row r="344" spans="1:13" ht="37.5" hidden="1">
      <c r="A344" s="18" t="s">
        <v>300</v>
      </c>
      <c r="B344" s="19" t="str">
        <f>INDEX(메뉴구조!$B$5:$B$300,MATCH($A344,메뉴구조!$A$5:$A$300,0))&amp;""</f>
        <v>거래</v>
      </c>
      <c r="C344" s="19" t="str">
        <f>INDEX(메뉴구조!$C$5:$C$300,MATCH($A344,메뉴구조!$A$5:$A$300,0))&amp;""</f>
        <v>종목</v>
      </c>
      <c r="D344" s="19" t="str">
        <f>INDEX(메뉴구조!$D$5:$D$300,MATCH($A344,메뉴구조!$A$5:$A$300,0))&amp;""</f>
        <v>종목상세</v>
      </c>
      <c r="E344" s="19" t="str">
        <f>INDEX(메뉴구조!$E$5:$E$300,MATCH($A344,메뉴구조!$A$5:$A$300,0))&amp;""</f>
        <v>내 주문&gt; 필터</v>
      </c>
      <c r="F344" s="9" t="str">
        <f>INDEX(메뉴구조!$G$5:$G$300,MATCH($A344,메뉴구조!$A$5:$A$300,0))&amp;""</f>
        <v>거래 / 종목 / 종목상세 / 내 주문&gt; 필터</v>
      </c>
      <c r="G344" s="18">
        <v>4</v>
      </c>
      <c r="H344" s="9" t="s">
        <v>1315</v>
      </c>
      <c r="I344" s="9" t="s">
        <v>1316</v>
      </c>
      <c r="J344" s="9"/>
      <c r="K344" s="18" t="s">
        <v>17</v>
      </c>
      <c r="L344" s="9"/>
      <c r="M344" s="9"/>
    </row>
    <row r="345" spans="1:13" ht="25" hidden="1">
      <c r="A345" s="18" t="s">
        <v>300</v>
      </c>
      <c r="B345" s="19" t="str">
        <f>INDEX(메뉴구조!$B$5:$B$300,MATCH($A345,메뉴구조!$A$5:$A$300,0))&amp;""</f>
        <v>거래</v>
      </c>
      <c r="C345" s="19" t="str">
        <f>INDEX(메뉴구조!$C$5:$C$300,MATCH($A345,메뉴구조!$A$5:$A$300,0))&amp;""</f>
        <v>종목</v>
      </c>
      <c r="D345" s="19" t="str">
        <f>INDEX(메뉴구조!$D$5:$D$300,MATCH($A345,메뉴구조!$A$5:$A$300,0))&amp;""</f>
        <v>종목상세</v>
      </c>
      <c r="E345" s="19" t="str">
        <f>INDEX(메뉴구조!$E$5:$E$300,MATCH($A345,메뉴구조!$A$5:$A$300,0))&amp;""</f>
        <v>내 주문&gt; 필터</v>
      </c>
      <c r="F345" s="9" t="str">
        <f>INDEX(메뉴구조!$G$5:$G$300,MATCH($A345,메뉴구조!$A$5:$A$300,0))&amp;""</f>
        <v>거래 / 종목 / 종목상세 / 내 주문&gt; 필터</v>
      </c>
      <c r="G345" s="18">
        <v>5</v>
      </c>
      <c r="H345" s="31" t="s">
        <v>1317</v>
      </c>
      <c r="I345" s="31" t="s">
        <v>1318</v>
      </c>
      <c r="J345" s="9"/>
      <c r="K345" s="20" t="s">
        <v>9</v>
      </c>
      <c r="L345" s="9" t="s">
        <v>1319</v>
      </c>
      <c r="M345" s="9" t="s">
        <v>1320</v>
      </c>
    </row>
    <row r="346" spans="1:13" ht="25" hidden="1">
      <c r="A346" s="18" t="s">
        <v>304</v>
      </c>
      <c r="B346" s="19" t="str">
        <f>INDEX(메뉴구조!$B$5:$B$300,MATCH($A346,메뉴구조!$A$5:$A$300,0))&amp;""</f>
        <v>거래</v>
      </c>
      <c r="C346" s="19" t="str">
        <f>INDEX(메뉴구조!$C$5:$C$300,MATCH($A346,메뉴구조!$A$5:$A$300,0))&amp;""</f>
        <v>종목</v>
      </c>
      <c r="D346" s="19" t="str">
        <f>INDEX(메뉴구조!$D$5:$D$300,MATCH($A346,메뉴구조!$A$5:$A$300,0))&amp;""</f>
        <v>종목상세</v>
      </c>
      <c r="E346" s="19" t="str">
        <f>INDEX(메뉴구조!$E$5:$E$300,MATCH($A346,메뉴구조!$A$5:$A$300,0))&amp;""</f>
        <v>커뮤니티&gt; 목록</v>
      </c>
      <c r="F346" s="9" t="str">
        <f>INDEX(메뉴구조!$G$5:$G$300,MATCH($A346,메뉴구조!$A$5:$A$300,0))&amp;""</f>
        <v>거래 / 종목 / 종목상세 / 커뮤니티&gt; 목록</v>
      </c>
      <c r="G346" s="18">
        <v>1</v>
      </c>
      <c r="H346" s="9" t="s">
        <v>1321</v>
      </c>
      <c r="I346" s="9" t="s">
        <v>1322</v>
      </c>
      <c r="J346" s="9"/>
      <c r="K346" s="18" t="s">
        <v>17</v>
      </c>
      <c r="L346" s="9"/>
      <c r="M346" s="9"/>
    </row>
    <row r="347" spans="1:13" ht="62.5" hidden="1">
      <c r="A347" s="18" t="s">
        <v>304</v>
      </c>
      <c r="B347" s="19" t="str">
        <f>INDEX(메뉴구조!$B$5:$B$300,MATCH($A347,메뉴구조!$A$5:$A$300,0))&amp;""</f>
        <v>거래</v>
      </c>
      <c r="C347" s="19" t="str">
        <f>INDEX(메뉴구조!$C$5:$C$300,MATCH($A347,메뉴구조!$A$5:$A$300,0))&amp;""</f>
        <v>종목</v>
      </c>
      <c r="D347" s="19" t="str">
        <f>INDEX(메뉴구조!$D$5:$D$300,MATCH($A347,메뉴구조!$A$5:$A$300,0))&amp;""</f>
        <v>종목상세</v>
      </c>
      <c r="E347" s="19" t="str">
        <f>INDEX(메뉴구조!$E$5:$E$300,MATCH($A347,메뉴구조!$A$5:$A$300,0))&amp;""</f>
        <v>커뮤니티&gt; 목록</v>
      </c>
      <c r="F347" s="9" t="str">
        <f>INDEX(메뉴구조!$G$5:$G$300,MATCH($A347,메뉴구조!$A$5:$A$300,0))&amp;""</f>
        <v>거래 / 종목 / 종목상세 / 커뮤니티&gt; 목록</v>
      </c>
      <c r="G347" s="18">
        <v>2</v>
      </c>
      <c r="H347" s="31" t="s">
        <v>1323</v>
      </c>
      <c r="I347" s="31" t="s">
        <v>1324</v>
      </c>
      <c r="J347" s="9"/>
      <c r="K347" s="20" t="s">
        <v>9</v>
      </c>
      <c r="L347" s="9" t="s">
        <v>1325</v>
      </c>
      <c r="M347" s="9" t="s">
        <v>1326</v>
      </c>
    </row>
    <row r="348" spans="1:13" ht="37.5" hidden="1">
      <c r="A348" s="18" t="s">
        <v>304</v>
      </c>
      <c r="B348" s="19" t="str">
        <f>INDEX(메뉴구조!$B$5:$B$300,MATCH($A348,메뉴구조!$A$5:$A$300,0))&amp;""</f>
        <v>거래</v>
      </c>
      <c r="C348" s="19" t="str">
        <f>INDEX(메뉴구조!$C$5:$C$300,MATCH($A348,메뉴구조!$A$5:$A$300,0))&amp;""</f>
        <v>종목</v>
      </c>
      <c r="D348" s="19" t="str">
        <f>INDEX(메뉴구조!$D$5:$D$300,MATCH($A348,메뉴구조!$A$5:$A$300,0))&amp;""</f>
        <v>종목상세</v>
      </c>
      <c r="E348" s="19" t="str">
        <f>INDEX(메뉴구조!$E$5:$E$300,MATCH($A348,메뉴구조!$A$5:$A$300,0))&amp;""</f>
        <v>커뮤니티&gt; 목록</v>
      </c>
      <c r="F348" s="9" t="str">
        <f>INDEX(메뉴구조!$G$5:$G$300,MATCH($A348,메뉴구조!$A$5:$A$300,0))&amp;""</f>
        <v>거래 / 종목 / 종목상세 / 커뮤니티&gt; 목록</v>
      </c>
      <c r="G348" s="18">
        <v>3</v>
      </c>
      <c r="H348" s="9" t="s">
        <v>1327</v>
      </c>
      <c r="I348" s="9" t="s">
        <v>1328</v>
      </c>
      <c r="J348" s="9"/>
      <c r="K348" s="18" t="s">
        <v>17</v>
      </c>
      <c r="L348" s="9"/>
      <c r="M348" s="9"/>
    </row>
    <row r="349" spans="1:13" ht="25" hidden="1">
      <c r="A349" s="18" t="s">
        <v>304</v>
      </c>
      <c r="B349" s="19" t="str">
        <f>INDEX(메뉴구조!$B$5:$B$300,MATCH($A349,메뉴구조!$A$5:$A$300,0))&amp;""</f>
        <v>거래</v>
      </c>
      <c r="C349" s="19" t="str">
        <f>INDEX(메뉴구조!$C$5:$C$300,MATCH($A349,메뉴구조!$A$5:$A$300,0))&amp;""</f>
        <v>종목</v>
      </c>
      <c r="D349" s="19" t="str">
        <f>INDEX(메뉴구조!$D$5:$D$300,MATCH($A349,메뉴구조!$A$5:$A$300,0))&amp;""</f>
        <v>종목상세</v>
      </c>
      <c r="E349" s="19" t="str">
        <f>INDEX(메뉴구조!$E$5:$E$300,MATCH($A349,메뉴구조!$A$5:$A$300,0))&amp;""</f>
        <v>커뮤니티&gt; 목록</v>
      </c>
      <c r="F349" s="9" t="str">
        <f>INDEX(메뉴구조!$G$5:$G$300,MATCH($A349,메뉴구조!$A$5:$A$300,0))&amp;""</f>
        <v>거래 / 종목 / 종목상세 / 커뮤니티&gt; 목록</v>
      </c>
      <c r="G349" s="18">
        <v>4</v>
      </c>
      <c r="H349" s="9" t="s">
        <v>1329</v>
      </c>
      <c r="I349" s="9" t="s">
        <v>1330</v>
      </c>
      <c r="J349" s="9"/>
      <c r="K349" s="18" t="s">
        <v>17</v>
      </c>
      <c r="L349" s="9"/>
      <c r="M349" s="9"/>
    </row>
    <row r="350" spans="1:13" ht="25" hidden="1">
      <c r="A350" s="18" t="s">
        <v>304</v>
      </c>
      <c r="B350" s="19" t="str">
        <f>INDEX(메뉴구조!$B$5:$B$300,MATCH($A350,메뉴구조!$A$5:$A$300,0))&amp;""</f>
        <v>거래</v>
      </c>
      <c r="C350" s="19" t="str">
        <f>INDEX(메뉴구조!$C$5:$C$300,MATCH($A350,메뉴구조!$A$5:$A$300,0))&amp;""</f>
        <v>종목</v>
      </c>
      <c r="D350" s="19" t="str">
        <f>INDEX(메뉴구조!$D$5:$D$300,MATCH($A350,메뉴구조!$A$5:$A$300,0))&amp;""</f>
        <v>종목상세</v>
      </c>
      <c r="E350" s="19" t="str">
        <f>INDEX(메뉴구조!$E$5:$E$300,MATCH($A350,메뉴구조!$A$5:$A$300,0))&amp;""</f>
        <v>커뮤니티&gt; 목록</v>
      </c>
      <c r="F350" s="9" t="str">
        <f>INDEX(메뉴구조!$G$5:$G$300,MATCH($A350,메뉴구조!$A$5:$A$300,0))&amp;""</f>
        <v>거래 / 종목 / 종목상세 / 커뮤니티&gt; 목록</v>
      </c>
      <c r="G350" s="18">
        <v>5</v>
      </c>
      <c r="H350" s="9" t="s">
        <v>1331</v>
      </c>
      <c r="I350" s="9" t="s">
        <v>1332</v>
      </c>
      <c r="J350" s="9" t="s">
        <v>1333</v>
      </c>
      <c r="K350" s="18" t="s">
        <v>17</v>
      </c>
      <c r="L350" s="9"/>
      <c r="M350" s="9"/>
    </row>
    <row r="351" spans="1:13" ht="37.5" hidden="1">
      <c r="A351" s="18" t="s">
        <v>304</v>
      </c>
      <c r="B351" s="19" t="str">
        <f>INDEX(메뉴구조!$B$5:$B$300,MATCH($A351,메뉴구조!$A$5:$A$300,0))&amp;""</f>
        <v>거래</v>
      </c>
      <c r="C351" s="19" t="str">
        <f>INDEX(메뉴구조!$C$5:$C$300,MATCH($A351,메뉴구조!$A$5:$A$300,0))&amp;""</f>
        <v>종목</v>
      </c>
      <c r="D351" s="19" t="str">
        <f>INDEX(메뉴구조!$D$5:$D$300,MATCH($A351,메뉴구조!$A$5:$A$300,0))&amp;""</f>
        <v>종목상세</v>
      </c>
      <c r="E351" s="19" t="str">
        <f>INDEX(메뉴구조!$E$5:$E$300,MATCH($A351,메뉴구조!$A$5:$A$300,0))&amp;""</f>
        <v>커뮤니티&gt; 목록</v>
      </c>
      <c r="F351" s="9" t="str">
        <f>INDEX(메뉴구조!$G$5:$G$300,MATCH($A351,메뉴구조!$A$5:$A$300,0))&amp;""</f>
        <v>거래 / 종목 / 종목상세 / 커뮤니티&gt; 목록</v>
      </c>
      <c r="G351" s="18">
        <v>6</v>
      </c>
      <c r="H351" s="9" t="s">
        <v>1334</v>
      </c>
      <c r="I351" s="9" t="s">
        <v>1335</v>
      </c>
      <c r="J351" s="9" t="s">
        <v>1336</v>
      </c>
      <c r="K351" s="18" t="s">
        <v>17</v>
      </c>
      <c r="L351" s="9"/>
      <c r="M351" s="9"/>
    </row>
    <row r="352" spans="1:13" ht="37.5" hidden="1">
      <c r="A352" s="18" t="s">
        <v>308</v>
      </c>
      <c r="B352" s="19" t="str">
        <f>INDEX(메뉴구조!$B$5:$B$300,MATCH($A352,메뉴구조!$A$5:$A$300,0))&amp;""</f>
        <v>거래</v>
      </c>
      <c r="C352" s="19" t="str">
        <f>INDEX(메뉴구조!$C$5:$C$300,MATCH($A352,메뉴구조!$A$5:$A$300,0))&amp;""</f>
        <v>종목</v>
      </c>
      <c r="D352" s="19" t="str">
        <f>INDEX(메뉴구조!$D$5:$D$300,MATCH($A352,메뉴구조!$A$5:$A$300,0))&amp;""</f>
        <v>종목상세</v>
      </c>
      <c r="E352" s="19" t="str">
        <f>INDEX(메뉴구조!$E$5:$E$300,MATCH($A352,메뉴구조!$A$5:$A$300,0))&amp;""</f>
        <v>커뮤니티</v>
      </c>
      <c r="F352" s="9" t="str">
        <f>INDEX(메뉴구조!$G$5:$G$300,MATCH($A352,메뉴구조!$A$5:$A$300,0))&amp;""</f>
        <v>거래 / 종목 / 종목상세 / 커뮤니티</v>
      </c>
      <c r="G352" s="18">
        <v>1</v>
      </c>
      <c r="H352" s="9" t="s">
        <v>1337</v>
      </c>
      <c r="I352" s="9" t="s">
        <v>1338</v>
      </c>
      <c r="J352" s="9"/>
      <c r="K352" s="25" t="s">
        <v>13</v>
      </c>
      <c r="L352" s="9" t="s">
        <v>851</v>
      </c>
      <c r="M352" s="9"/>
    </row>
    <row r="353" spans="1:13" ht="25" hidden="1">
      <c r="A353" s="18" t="s">
        <v>308</v>
      </c>
      <c r="B353" s="19" t="str">
        <f>INDEX(메뉴구조!$B$5:$B$300,MATCH($A353,메뉴구조!$A$5:$A$300,0))&amp;""</f>
        <v>거래</v>
      </c>
      <c r="C353" s="19" t="str">
        <f>INDEX(메뉴구조!$C$5:$C$300,MATCH($A353,메뉴구조!$A$5:$A$300,0))&amp;""</f>
        <v>종목</v>
      </c>
      <c r="D353" s="19" t="str">
        <f>INDEX(메뉴구조!$D$5:$D$300,MATCH($A353,메뉴구조!$A$5:$A$300,0))&amp;""</f>
        <v>종목상세</v>
      </c>
      <c r="E353" s="19" t="str">
        <f>INDEX(메뉴구조!$E$5:$E$300,MATCH($A353,메뉴구조!$A$5:$A$300,0))&amp;""</f>
        <v>커뮤니티</v>
      </c>
      <c r="F353" s="9" t="str">
        <f>INDEX(메뉴구조!$G$5:$G$300,MATCH($A353,메뉴구조!$A$5:$A$300,0))&amp;""</f>
        <v>거래 / 종목 / 종목상세 / 커뮤니티</v>
      </c>
      <c r="G353" s="18">
        <v>2</v>
      </c>
      <c r="H353" s="9" t="s">
        <v>1323</v>
      </c>
      <c r="I353" s="9" t="s">
        <v>1339</v>
      </c>
      <c r="J353" s="9"/>
      <c r="K353" s="25" t="s">
        <v>13</v>
      </c>
      <c r="L353" s="9" t="s">
        <v>851</v>
      </c>
      <c r="M353" s="9"/>
    </row>
    <row r="354" spans="1:13" ht="37.5" hidden="1">
      <c r="A354" s="18" t="s">
        <v>308</v>
      </c>
      <c r="B354" s="19" t="str">
        <f>INDEX(메뉴구조!$B$5:$B$300,MATCH($A354,메뉴구조!$A$5:$A$300,0))&amp;""</f>
        <v>거래</v>
      </c>
      <c r="C354" s="19" t="str">
        <f>INDEX(메뉴구조!$C$5:$C$300,MATCH($A354,메뉴구조!$A$5:$A$300,0))&amp;""</f>
        <v>종목</v>
      </c>
      <c r="D354" s="19" t="str">
        <f>INDEX(메뉴구조!$D$5:$D$300,MATCH($A354,메뉴구조!$A$5:$A$300,0))&amp;""</f>
        <v>종목상세</v>
      </c>
      <c r="E354" s="19" t="str">
        <f>INDEX(메뉴구조!$E$5:$E$300,MATCH($A354,메뉴구조!$A$5:$A$300,0))&amp;""</f>
        <v>커뮤니티</v>
      </c>
      <c r="F354" s="9" t="str">
        <f>INDEX(메뉴구조!$G$5:$G$300,MATCH($A354,메뉴구조!$A$5:$A$300,0))&amp;""</f>
        <v>거래 / 종목 / 종목상세 / 커뮤니티</v>
      </c>
      <c r="G354" s="18">
        <v>3</v>
      </c>
      <c r="H354" s="9" t="s">
        <v>1340</v>
      </c>
      <c r="I354" s="9" t="s">
        <v>1341</v>
      </c>
      <c r="J354" s="9"/>
      <c r="K354" s="25" t="s">
        <v>13</v>
      </c>
      <c r="L354" s="9" t="s">
        <v>851</v>
      </c>
      <c r="M354" s="9"/>
    </row>
    <row r="355" spans="1:13" ht="25" hidden="1">
      <c r="A355" s="18" t="s">
        <v>308</v>
      </c>
      <c r="B355" s="19" t="str">
        <f>INDEX(메뉴구조!$B$5:$B$300,MATCH($A355,메뉴구조!$A$5:$A$300,0))&amp;""</f>
        <v>거래</v>
      </c>
      <c r="C355" s="19" t="str">
        <f>INDEX(메뉴구조!$C$5:$C$300,MATCH($A355,메뉴구조!$A$5:$A$300,0))&amp;""</f>
        <v>종목</v>
      </c>
      <c r="D355" s="19" t="str">
        <f>INDEX(메뉴구조!$D$5:$D$300,MATCH($A355,메뉴구조!$A$5:$A$300,0))&amp;""</f>
        <v>종목상세</v>
      </c>
      <c r="E355" s="19" t="str">
        <f>INDEX(메뉴구조!$E$5:$E$300,MATCH($A355,메뉴구조!$A$5:$A$300,0))&amp;""</f>
        <v>커뮤니티</v>
      </c>
      <c r="F355" s="9" t="str">
        <f>INDEX(메뉴구조!$G$5:$G$300,MATCH($A355,메뉴구조!$A$5:$A$300,0))&amp;""</f>
        <v>거래 / 종목 / 종목상세 / 커뮤니티</v>
      </c>
      <c r="G355" s="18">
        <v>4</v>
      </c>
      <c r="H355" s="9" t="s">
        <v>1329</v>
      </c>
      <c r="I355" s="9" t="s">
        <v>1342</v>
      </c>
      <c r="J355" s="9"/>
      <c r="K355" s="25" t="s">
        <v>13</v>
      </c>
      <c r="L355" s="9" t="s">
        <v>851</v>
      </c>
      <c r="M355" s="9"/>
    </row>
    <row r="356" spans="1:13" ht="25" hidden="1">
      <c r="A356" s="18" t="s">
        <v>308</v>
      </c>
      <c r="B356" s="19" t="str">
        <f>INDEX(메뉴구조!$B$5:$B$300,MATCH($A356,메뉴구조!$A$5:$A$300,0))&amp;""</f>
        <v>거래</v>
      </c>
      <c r="C356" s="19" t="str">
        <f>INDEX(메뉴구조!$C$5:$C$300,MATCH($A356,메뉴구조!$A$5:$A$300,0))&amp;""</f>
        <v>종목</v>
      </c>
      <c r="D356" s="19" t="str">
        <f>INDEX(메뉴구조!$D$5:$D$300,MATCH($A356,메뉴구조!$A$5:$A$300,0))&amp;""</f>
        <v>종목상세</v>
      </c>
      <c r="E356" s="19" t="str">
        <f>INDEX(메뉴구조!$E$5:$E$300,MATCH($A356,메뉴구조!$A$5:$A$300,0))&amp;""</f>
        <v>커뮤니티</v>
      </c>
      <c r="F356" s="9" t="str">
        <f>INDEX(메뉴구조!$G$5:$G$300,MATCH($A356,메뉴구조!$A$5:$A$300,0))&amp;""</f>
        <v>거래 / 종목 / 종목상세 / 커뮤니티</v>
      </c>
      <c r="G356" s="18">
        <v>5</v>
      </c>
      <c r="H356" s="9" t="s">
        <v>1343</v>
      </c>
      <c r="I356" s="9" t="s">
        <v>1344</v>
      </c>
      <c r="J356" s="9"/>
      <c r="K356" s="25" t="s">
        <v>13</v>
      </c>
      <c r="L356" s="9" t="s">
        <v>851</v>
      </c>
      <c r="M356" s="9"/>
    </row>
    <row r="357" spans="1:13" ht="25" hidden="1">
      <c r="A357" s="18" t="s">
        <v>308</v>
      </c>
      <c r="B357" s="19" t="str">
        <f>INDEX(메뉴구조!$B$5:$B$300,MATCH($A357,메뉴구조!$A$5:$A$300,0))&amp;""</f>
        <v>거래</v>
      </c>
      <c r="C357" s="19" t="str">
        <f>INDEX(메뉴구조!$C$5:$C$300,MATCH($A357,메뉴구조!$A$5:$A$300,0))&amp;""</f>
        <v>종목</v>
      </c>
      <c r="D357" s="19" t="str">
        <f>INDEX(메뉴구조!$D$5:$D$300,MATCH($A357,메뉴구조!$A$5:$A$300,0))&amp;""</f>
        <v>종목상세</v>
      </c>
      <c r="E357" s="19" t="str">
        <f>INDEX(메뉴구조!$E$5:$E$300,MATCH($A357,메뉴구조!$A$5:$A$300,0))&amp;""</f>
        <v>커뮤니티</v>
      </c>
      <c r="F357" s="9" t="str">
        <f>INDEX(메뉴구조!$G$5:$G$300,MATCH($A357,메뉴구조!$A$5:$A$300,0))&amp;""</f>
        <v>거래 / 종목 / 종목상세 / 커뮤니티</v>
      </c>
      <c r="G357" s="18">
        <v>6</v>
      </c>
      <c r="H357" s="9" t="s">
        <v>1334</v>
      </c>
      <c r="I357" s="9" t="s">
        <v>1345</v>
      </c>
      <c r="J357" s="9" t="s">
        <v>1336</v>
      </c>
      <c r="K357" s="25" t="s">
        <v>13</v>
      </c>
      <c r="L357" s="9" t="s">
        <v>851</v>
      </c>
      <c r="M357" s="9"/>
    </row>
    <row r="358" spans="1:13" ht="50" hidden="1">
      <c r="A358" s="18" t="s">
        <v>310</v>
      </c>
      <c r="B358" s="19" t="str">
        <f>INDEX(메뉴구조!$B$5:$B$300,MATCH($A358,메뉴구조!$A$5:$A$300,0))&amp;""</f>
        <v>거래</v>
      </c>
      <c r="C358" s="19" t="str">
        <f>INDEX(메뉴구조!$C$5:$C$300,MATCH($A358,메뉴구조!$A$5:$A$300,0))&amp;""</f>
        <v>종목</v>
      </c>
      <c r="D358" s="19" t="str">
        <f>INDEX(메뉴구조!$D$5:$D$300,MATCH($A358,메뉴구조!$A$5:$A$300,0))&amp;""</f>
        <v>종목상세</v>
      </c>
      <c r="E358" s="19" t="str">
        <f>INDEX(메뉴구조!$E$5:$E$300,MATCH($A358,메뉴구조!$A$5:$A$300,0))&amp;""</f>
        <v>커뮤니티_필터</v>
      </c>
      <c r="F358" s="9" t="str">
        <f>INDEX(메뉴구조!$G$5:$G$300,MATCH($A358,메뉴구조!$A$5:$A$300,0))&amp;""</f>
        <v>거래 / 종목 / 종목상세 / 커뮤니티_필터</v>
      </c>
      <c r="G358" s="18">
        <v>1</v>
      </c>
      <c r="H358" s="31" t="s">
        <v>842</v>
      </c>
      <c r="I358" s="31" t="s">
        <v>1346</v>
      </c>
      <c r="J358" s="9"/>
      <c r="K358" s="20" t="s">
        <v>9</v>
      </c>
      <c r="L358" s="9" t="s">
        <v>398</v>
      </c>
      <c r="M358" s="9" t="s">
        <v>1347</v>
      </c>
    </row>
    <row r="359" spans="1:13" ht="25" hidden="1">
      <c r="A359" s="18" t="s">
        <v>310</v>
      </c>
      <c r="B359" s="19" t="str">
        <f>INDEX(메뉴구조!$B$5:$B$300,MATCH($A359,메뉴구조!$A$5:$A$300,0))&amp;""</f>
        <v>거래</v>
      </c>
      <c r="C359" s="19" t="str">
        <f>INDEX(메뉴구조!$C$5:$C$300,MATCH($A359,메뉴구조!$A$5:$A$300,0))&amp;""</f>
        <v>종목</v>
      </c>
      <c r="D359" s="19" t="str">
        <f>INDEX(메뉴구조!$D$5:$D$300,MATCH($A359,메뉴구조!$A$5:$A$300,0))&amp;""</f>
        <v>종목상세</v>
      </c>
      <c r="E359" s="19" t="str">
        <f>INDEX(메뉴구조!$E$5:$E$300,MATCH($A359,메뉴구조!$A$5:$A$300,0))&amp;""</f>
        <v>커뮤니티_필터</v>
      </c>
      <c r="F359" s="9" t="str">
        <f>INDEX(메뉴구조!$G$5:$G$300,MATCH($A359,메뉴구조!$A$5:$A$300,0))&amp;""</f>
        <v>거래 / 종목 / 종목상세 / 커뮤니티_필터</v>
      </c>
      <c r="G359" s="18">
        <v>2</v>
      </c>
      <c r="H359" s="9" t="s">
        <v>1348</v>
      </c>
      <c r="I359" s="9" t="s">
        <v>1349</v>
      </c>
      <c r="J359" s="9"/>
      <c r="K359" s="18" t="s">
        <v>17</v>
      </c>
      <c r="L359" s="9"/>
      <c r="M359" s="9"/>
    </row>
    <row r="360" spans="1:13" ht="25" hidden="1">
      <c r="A360" s="18" t="s">
        <v>310</v>
      </c>
      <c r="B360" s="19" t="str">
        <f>INDEX(메뉴구조!$B$5:$B$300,MATCH($A360,메뉴구조!$A$5:$A$300,0))&amp;""</f>
        <v>거래</v>
      </c>
      <c r="C360" s="19" t="str">
        <f>INDEX(메뉴구조!$C$5:$C$300,MATCH($A360,메뉴구조!$A$5:$A$300,0))&amp;""</f>
        <v>종목</v>
      </c>
      <c r="D360" s="19" t="str">
        <f>INDEX(메뉴구조!$D$5:$D$300,MATCH($A360,메뉴구조!$A$5:$A$300,0))&amp;""</f>
        <v>종목상세</v>
      </c>
      <c r="E360" s="19" t="str">
        <f>INDEX(메뉴구조!$E$5:$E$300,MATCH($A360,메뉴구조!$A$5:$A$300,0))&amp;""</f>
        <v>커뮤니티_필터</v>
      </c>
      <c r="F360" s="9" t="str">
        <f>INDEX(메뉴구조!$G$5:$G$300,MATCH($A360,메뉴구조!$A$5:$A$300,0))&amp;""</f>
        <v>거래 / 종목 / 종목상세 / 커뮤니티_필터</v>
      </c>
      <c r="G360" s="18">
        <v>3</v>
      </c>
      <c r="H360" s="31" t="s">
        <v>1350</v>
      </c>
      <c r="I360" s="31" t="s">
        <v>1351</v>
      </c>
      <c r="J360" s="9"/>
      <c r="K360" s="20" t="s">
        <v>9</v>
      </c>
      <c r="L360" s="9" t="s">
        <v>1352</v>
      </c>
      <c r="M360" s="9" t="s">
        <v>1353</v>
      </c>
    </row>
    <row r="361" spans="1:13" hidden="1">
      <c r="A361" s="18" t="s">
        <v>310</v>
      </c>
      <c r="B361" s="19" t="str">
        <f>INDEX(메뉴구조!$B$5:$B$300,MATCH($A361,메뉴구조!$A$5:$A$300,0))&amp;""</f>
        <v>거래</v>
      </c>
      <c r="C361" s="19" t="str">
        <f>INDEX(메뉴구조!$C$5:$C$300,MATCH($A361,메뉴구조!$A$5:$A$300,0))&amp;""</f>
        <v>종목</v>
      </c>
      <c r="D361" s="19" t="str">
        <f>INDEX(메뉴구조!$D$5:$D$300,MATCH($A361,메뉴구조!$A$5:$A$300,0))&amp;""</f>
        <v>종목상세</v>
      </c>
      <c r="E361" s="19" t="str">
        <f>INDEX(메뉴구조!$E$5:$E$300,MATCH($A361,메뉴구조!$A$5:$A$300,0))&amp;""</f>
        <v>커뮤니티_필터</v>
      </c>
      <c r="F361" s="9" t="str">
        <f>INDEX(메뉴구조!$G$5:$G$300,MATCH($A361,메뉴구조!$A$5:$A$300,0))&amp;""</f>
        <v>거래 / 종목 / 종목상세 / 커뮤니티_필터</v>
      </c>
      <c r="G361" s="18">
        <v>4</v>
      </c>
      <c r="H361" s="31" t="s">
        <v>1354</v>
      </c>
      <c r="I361" s="31" t="s">
        <v>1355</v>
      </c>
      <c r="J361" s="9"/>
      <c r="K361" s="20" t="s">
        <v>9</v>
      </c>
      <c r="L361" s="9" t="s">
        <v>1352</v>
      </c>
      <c r="M361" s="9" t="s">
        <v>1356</v>
      </c>
    </row>
    <row r="362" spans="1:13" ht="62.5" hidden="1">
      <c r="A362" s="18" t="s">
        <v>314</v>
      </c>
      <c r="B362" s="19" t="str">
        <f>INDEX(메뉴구조!$B$5:$B$300,MATCH($A362,메뉴구조!$A$5:$A$300,0))&amp;""</f>
        <v>거래</v>
      </c>
      <c r="C362" s="19" t="str">
        <f>INDEX(메뉴구조!$C$5:$C$300,MATCH($A362,메뉴구조!$A$5:$A$300,0))&amp;""</f>
        <v>종목</v>
      </c>
      <c r="D362" s="19" t="str">
        <f>INDEX(메뉴구조!$D$5:$D$300,MATCH($A362,메뉴구조!$A$5:$A$300,0))&amp;""</f>
        <v>종목상세</v>
      </c>
      <c r="E362" s="19" t="str">
        <f>INDEX(메뉴구조!$E$5:$E$300,MATCH($A362,메뉴구조!$A$5:$A$300,0))&amp;""</f>
        <v>호가&gt; 구매 호가 클릭시</v>
      </c>
      <c r="F362" s="9" t="str">
        <f>INDEX(메뉴구조!$G$5:$G$300,MATCH($A362,메뉴구조!$A$5:$A$300,0))&amp;""</f>
        <v>거래 / 종목 / 종목상세 / 호가&gt; 구매 호가 클릭시</v>
      </c>
      <c r="G362" s="18">
        <v>1</v>
      </c>
      <c r="H362" s="9" t="s">
        <v>1357</v>
      </c>
      <c r="I362" s="9" t="s">
        <v>1358</v>
      </c>
      <c r="J362" s="9"/>
      <c r="K362" s="25" t="s">
        <v>13</v>
      </c>
      <c r="L362" s="9" t="s">
        <v>851</v>
      </c>
      <c r="M362" s="9"/>
    </row>
    <row r="363" spans="1:13" ht="37.5" hidden="1">
      <c r="A363" s="18" t="s">
        <v>314</v>
      </c>
      <c r="B363" s="19" t="str">
        <f>INDEX(메뉴구조!$B$5:$B$300,MATCH($A363,메뉴구조!$A$5:$A$300,0))&amp;""</f>
        <v>거래</v>
      </c>
      <c r="C363" s="19" t="str">
        <f>INDEX(메뉴구조!$C$5:$C$300,MATCH($A363,메뉴구조!$A$5:$A$300,0))&amp;""</f>
        <v>종목</v>
      </c>
      <c r="D363" s="19" t="str">
        <f>INDEX(메뉴구조!$D$5:$D$300,MATCH($A363,메뉴구조!$A$5:$A$300,0))&amp;""</f>
        <v>종목상세</v>
      </c>
      <c r="E363" s="19" t="str">
        <f>INDEX(메뉴구조!$E$5:$E$300,MATCH($A363,메뉴구조!$A$5:$A$300,0))&amp;""</f>
        <v>호가&gt; 구매 호가 클릭시</v>
      </c>
      <c r="F363" s="9" t="str">
        <f>INDEX(메뉴구조!$G$5:$G$300,MATCH($A363,메뉴구조!$A$5:$A$300,0))&amp;""</f>
        <v>거래 / 종목 / 종목상세 / 호가&gt; 구매 호가 클릭시</v>
      </c>
      <c r="G363" s="18">
        <v>2</v>
      </c>
      <c r="H363" s="9" t="s">
        <v>1359</v>
      </c>
      <c r="I363" s="9" t="s">
        <v>1360</v>
      </c>
      <c r="J363" s="9"/>
      <c r="K363" s="25" t="s">
        <v>13</v>
      </c>
      <c r="L363" s="9" t="s">
        <v>851</v>
      </c>
      <c r="M363" s="9"/>
    </row>
    <row r="364" spans="1:13" ht="25" hidden="1">
      <c r="A364" s="18" t="s">
        <v>314</v>
      </c>
      <c r="B364" s="19" t="str">
        <f>INDEX(메뉴구조!$B$5:$B$300,MATCH($A364,메뉴구조!$A$5:$A$300,0))&amp;""</f>
        <v>거래</v>
      </c>
      <c r="C364" s="19" t="str">
        <f>INDEX(메뉴구조!$C$5:$C$300,MATCH($A364,메뉴구조!$A$5:$A$300,0))&amp;""</f>
        <v>종목</v>
      </c>
      <c r="D364" s="19" t="str">
        <f>INDEX(메뉴구조!$D$5:$D$300,MATCH($A364,메뉴구조!$A$5:$A$300,0))&amp;""</f>
        <v>종목상세</v>
      </c>
      <c r="E364" s="19" t="str">
        <f>INDEX(메뉴구조!$E$5:$E$300,MATCH($A364,메뉴구조!$A$5:$A$300,0))&amp;""</f>
        <v>호가&gt; 구매 호가 클릭시</v>
      </c>
      <c r="F364" s="9" t="str">
        <f>INDEX(메뉴구조!$G$5:$G$300,MATCH($A364,메뉴구조!$A$5:$A$300,0))&amp;""</f>
        <v>거래 / 종목 / 종목상세 / 호가&gt; 구매 호가 클릭시</v>
      </c>
      <c r="G364" s="18">
        <v>3</v>
      </c>
      <c r="H364" s="9" t="s">
        <v>1361</v>
      </c>
      <c r="I364" s="9" t="s">
        <v>1362</v>
      </c>
      <c r="J364" s="9"/>
      <c r="K364" s="25" t="s">
        <v>13</v>
      </c>
      <c r="L364" s="9" t="s">
        <v>851</v>
      </c>
      <c r="M364" s="9"/>
    </row>
    <row r="365" spans="1:13" ht="25" hidden="1">
      <c r="A365" s="18" t="s">
        <v>314</v>
      </c>
      <c r="B365" s="19" t="str">
        <f>INDEX(메뉴구조!$B$5:$B$300,MATCH($A365,메뉴구조!$A$5:$A$300,0))&amp;""</f>
        <v>거래</v>
      </c>
      <c r="C365" s="19" t="str">
        <f>INDEX(메뉴구조!$C$5:$C$300,MATCH($A365,메뉴구조!$A$5:$A$300,0))&amp;""</f>
        <v>종목</v>
      </c>
      <c r="D365" s="19" t="str">
        <f>INDEX(메뉴구조!$D$5:$D$300,MATCH($A365,메뉴구조!$A$5:$A$300,0))&amp;""</f>
        <v>종목상세</v>
      </c>
      <c r="E365" s="19" t="str">
        <f>INDEX(메뉴구조!$E$5:$E$300,MATCH($A365,메뉴구조!$A$5:$A$300,0))&amp;""</f>
        <v>호가&gt; 구매 호가 클릭시</v>
      </c>
      <c r="F365" s="9" t="str">
        <f>INDEX(메뉴구조!$G$5:$G$300,MATCH($A365,메뉴구조!$A$5:$A$300,0))&amp;""</f>
        <v>거래 / 종목 / 종목상세 / 호가&gt; 구매 호가 클릭시</v>
      </c>
      <c r="G365" s="18">
        <v>4</v>
      </c>
      <c r="H365" s="9" t="s">
        <v>1363</v>
      </c>
      <c r="I365" s="9" t="s">
        <v>1364</v>
      </c>
      <c r="J365" s="9"/>
      <c r="K365" s="25" t="s">
        <v>13</v>
      </c>
      <c r="L365" s="9" t="s">
        <v>851</v>
      </c>
      <c r="M365" s="9"/>
    </row>
    <row r="366" spans="1:13" ht="37.5" hidden="1">
      <c r="A366" s="18" t="s">
        <v>314</v>
      </c>
      <c r="B366" s="19" t="str">
        <f>INDEX(메뉴구조!$B$5:$B$300,MATCH($A366,메뉴구조!$A$5:$A$300,0))&amp;""</f>
        <v>거래</v>
      </c>
      <c r="C366" s="19" t="str">
        <f>INDEX(메뉴구조!$C$5:$C$300,MATCH($A366,메뉴구조!$A$5:$A$300,0))&amp;""</f>
        <v>종목</v>
      </c>
      <c r="D366" s="19" t="str">
        <f>INDEX(메뉴구조!$D$5:$D$300,MATCH($A366,메뉴구조!$A$5:$A$300,0))&amp;""</f>
        <v>종목상세</v>
      </c>
      <c r="E366" s="19" t="str">
        <f>INDEX(메뉴구조!$E$5:$E$300,MATCH($A366,메뉴구조!$A$5:$A$300,0))&amp;""</f>
        <v>호가&gt; 구매 호가 클릭시</v>
      </c>
      <c r="F366" s="9" t="str">
        <f>INDEX(메뉴구조!$G$5:$G$300,MATCH($A366,메뉴구조!$A$5:$A$300,0))&amp;""</f>
        <v>거래 / 종목 / 종목상세 / 호가&gt; 구매 호가 클릭시</v>
      </c>
      <c r="G366" s="18">
        <v>5</v>
      </c>
      <c r="H366" s="9" t="s">
        <v>1365</v>
      </c>
      <c r="I366" s="9" t="s">
        <v>1366</v>
      </c>
      <c r="J366" s="9"/>
      <c r="K366" s="25" t="s">
        <v>13</v>
      </c>
      <c r="L366" s="9" t="s">
        <v>851</v>
      </c>
      <c r="M366" s="9"/>
    </row>
    <row r="367" spans="1:13" ht="25" hidden="1">
      <c r="A367" s="18" t="s">
        <v>314</v>
      </c>
      <c r="B367" s="19" t="str">
        <f>INDEX(메뉴구조!$B$5:$B$300,MATCH($A367,메뉴구조!$A$5:$A$300,0))&amp;""</f>
        <v>거래</v>
      </c>
      <c r="C367" s="19" t="str">
        <f>INDEX(메뉴구조!$C$5:$C$300,MATCH($A367,메뉴구조!$A$5:$A$300,0))&amp;""</f>
        <v>종목</v>
      </c>
      <c r="D367" s="19" t="str">
        <f>INDEX(메뉴구조!$D$5:$D$300,MATCH($A367,메뉴구조!$A$5:$A$300,0))&amp;""</f>
        <v>종목상세</v>
      </c>
      <c r="E367" s="19" t="str">
        <f>INDEX(메뉴구조!$E$5:$E$300,MATCH($A367,메뉴구조!$A$5:$A$300,0))&amp;""</f>
        <v>호가&gt; 구매 호가 클릭시</v>
      </c>
      <c r="F367" s="9" t="str">
        <f>INDEX(메뉴구조!$G$5:$G$300,MATCH($A367,메뉴구조!$A$5:$A$300,0))&amp;""</f>
        <v>거래 / 종목 / 종목상세 / 호가&gt; 구매 호가 클릭시</v>
      </c>
      <c r="G367" s="18">
        <v>6</v>
      </c>
      <c r="H367" s="9" t="s">
        <v>1367</v>
      </c>
      <c r="I367" s="9" t="s">
        <v>1368</v>
      </c>
      <c r="J367" s="9"/>
      <c r="K367" s="25" t="s">
        <v>13</v>
      </c>
      <c r="L367" s="9" t="s">
        <v>851</v>
      </c>
      <c r="M367" s="9"/>
    </row>
    <row r="368" spans="1:13" ht="62.5" hidden="1">
      <c r="A368" s="18" t="s">
        <v>317</v>
      </c>
      <c r="B368" s="19" t="str">
        <f>INDEX(메뉴구조!$B$5:$B$300,MATCH($A368,메뉴구조!$A$5:$A$300,0))&amp;""</f>
        <v>거래</v>
      </c>
      <c r="C368" s="19" t="str">
        <f>INDEX(메뉴구조!$C$5:$C$300,MATCH($A368,메뉴구조!$A$5:$A$300,0))&amp;""</f>
        <v>종목</v>
      </c>
      <c r="D368" s="19" t="str">
        <f>INDEX(메뉴구조!$D$5:$D$300,MATCH($A368,메뉴구조!$A$5:$A$300,0))&amp;""</f>
        <v>종목상세</v>
      </c>
      <c r="E368" s="19" t="str">
        <f>INDEX(메뉴구조!$E$5:$E$300,MATCH($A368,메뉴구조!$A$5:$A$300,0))&amp;""</f>
        <v>호가&gt; 판매 호가 클릭시</v>
      </c>
      <c r="F368" s="9" t="str">
        <f>INDEX(메뉴구조!$G$5:$G$300,MATCH($A368,메뉴구조!$A$5:$A$300,0))&amp;""</f>
        <v>거래 / 종목 / 종목상세 / 호가&gt; 판매 호가 클릭시</v>
      </c>
      <c r="G368" s="18">
        <v>1</v>
      </c>
      <c r="H368" s="9" t="s">
        <v>1369</v>
      </c>
      <c r="I368" s="9" t="s">
        <v>1370</v>
      </c>
      <c r="J368" s="9"/>
      <c r="K368" s="25" t="s">
        <v>13</v>
      </c>
      <c r="L368" s="9" t="s">
        <v>851</v>
      </c>
      <c r="M368" s="9"/>
    </row>
    <row r="369" spans="1:13" ht="25" hidden="1">
      <c r="A369" s="18" t="s">
        <v>317</v>
      </c>
      <c r="B369" s="19" t="str">
        <f>INDEX(메뉴구조!$B$5:$B$300,MATCH($A369,메뉴구조!$A$5:$A$300,0))&amp;""</f>
        <v>거래</v>
      </c>
      <c r="C369" s="19" t="str">
        <f>INDEX(메뉴구조!$C$5:$C$300,MATCH($A369,메뉴구조!$A$5:$A$300,0))&amp;""</f>
        <v>종목</v>
      </c>
      <c r="D369" s="19" t="str">
        <f>INDEX(메뉴구조!$D$5:$D$300,MATCH($A369,메뉴구조!$A$5:$A$300,0))&amp;""</f>
        <v>종목상세</v>
      </c>
      <c r="E369" s="19" t="str">
        <f>INDEX(메뉴구조!$E$5:$E$300,MATCH($A369,메뉴구조!$A$5:$A$300,0))&amp;""</f>
        <v>호가&gt; 판매 호가 클릭시</v>
      </c>
      <c r="F369" s="9" t="str">
        <f>INDEX(메뉴구조!$G$5:$G$300,MATCH($A369,메뉴구조!$A$5:$A$300,0))&amp;""</f>
        <v>거래 / 종목 / 종목상세 / 호가&gt; 판매 호가 클릭시</v>
      </c>
      <c r="G369" s="18">
        <v>2</v>
      </c>
      <c r="H369" s="9" t="s">
        <v>1371</v>
      </c>
      <c r="I369" s="9" t="s">
        <v>1372</v>
      </c>
      <c r="J369" s="9"/>
      <c r="K369" s="25" t="s">
        <v>13</v>
      </c>
      <c r="L369" s="9" t="s">
        <v>851</v>
      </c>
      <c r="M369" s="9"/>
    </row>
    <row r="370" spans="1:13" ht="25" hidden="1">
      <c r="A370" s="18" t="s">
        <v>317</v>
      </c>
      <c r="B370" s="19" t="str">
        <f>INDEX(메뉴구조!$B$5:$B$300,MATCH($A370,메뉴구조!$A$5:$A$300,0))&amp;""</f>
        <v>거래</v>
      </c>
      <c r="C370" s="19" t="str">
        <f>INDEX(메뉴구조!$C$5:$C$300,MATCH($A370,메뉴구조!$A$5:$A$300,0))&amp;""</f>
        <v>종목</v>
      </c>
      <c r="D370" s="19" t="str">
        <f>INDEX(메뉴구조!$D$5:$D$300,MATCH($A370,메뉴구조!$A$5:$A$300,0))&amp;""</f>
        <v>종목상세</v>
      </c>
      <c r="E370" s="19" t="str">
        <f>INDEX(메뉴구조!$E$5:$E$300,MATCH($A370,메뉴구조!$A$5:$A$300,0))&amp;""</f>
        <v>호가&gt; 판매 호가 클릭시</v>
      </c>
      <c r="F370" s="9" t="str">
        <f>INDEX(메뉴구조!$G$5:$G$300,MATCH($A370,메뉴구조!$A$5:$A$300,0))&amp;""</f>
        <v>거래 / 종목 / 종목상세 / 호가&gt; 판매 호가 클릭시</v>
      </c>
      <c r="G370" s="18">
        <v>3</v>
      </c>
      <c r="H370" s="9" t="s">
        <v>1361</v>
      </c>
      <c r="I370" s="9" t="s">
        <v>1373</v>
      </c>
      <c r="J370" s="9"/>
      <c r="K370" s="25" t="s">
        <v>13</v>
      </c>
      <c r="L370" s="9" t="s">
        <v>851</v>
      </c>
      <c r="M370" s="9"/>
    </row>
    <row r="371" spans="1:13" ht="25" hidden="1">
      <c r="A371" s="18" t="s">
        <v>317</v>
      </c>
      <c r="B371" s="19" t="str">
        <f>INDEX(메뉴구조!$B$5:$B$300,MATCH($A371,메뉴구조!$A$5:$A$300,0))&amp;""</f>
        <v>거래</v>
      </c>
      <c r="C371" s="19" t="str">
        <f>INDEX(메뉴구조!$C$5:$C$300,MATCH($A371,메뉴구조!$A$5:$A$300,0))&amp;""</f>
        <v>종목</v>
      </c>
      <c r="D371" s="19" t="str">
        <f>INDEX(메뉴구조!$D$5:$D$300,MATCH($A371,메뉴구조!$A$5:$A$300,0))&amp;""</f>
        <v>종목상세</v>
      </c>
      <c r="E371" s="19" t="str">
        <f>INDEX(메뉴구조!$E$5:$E$300,MATCH($A371,메뉴구조!$A$5:$A$300,0))&amp;""</f>
        <v>호가&gt; 판매 호가 클릭시</v>
      </c>
      <c r="F371" s="9" t="str">
        <f>INDEX(메뉴구조!$G$5:$G$300,MATCH($A371,메뉴구조!$A$5:$A$300,0))&amp;""</f>
        <v>거래 / 종목 / 종목상세 / 호가&gt; 판매 호가 클릭시</v>
      </c>
      <c r="G371" s="18">
        <v>4</v>
      </c>
      <c r="H371" s="9" t="s">
        <v>1363</v>
      </c>
      <c r="I371" s="9" t="s">
        <v>1374</v>
      </c>
      <c r="J371" s="9"/>
      <c r="K371" s="25" t="s">
        <v>13</v>
      </c>
      <c r="L371" s="9" t="s">
        <v>851</v>
      </c>
      <c r="M371" s="9"/>
    </row>
    <row r="372" spans="1:13" ht="37.5" hidden="1">
      <c r="A372" s="18" t="s">
        <v>317</v>
      </c>
      <c r="B372" s="19" t="str">
        <f>INDEX(메뉴구조!$B$5:$B$300,MATCH($A372,메뉴구조!$A$5:$A$300,0))&amp;""</f>
        <v>거래</v>
      </c>
      <c r="C372" s="19" t="str">
        <f>INDEX(메뉴구조!$C$5:$C$300,MATCH($A372,메뉴구조!$A$5:$A$300,0))&amp;""</f>
        <v>종목</v>
      </c>
      <c r="D372" s="19" t="str">
        <f>INDEX(메뉴구조!$D$5:$D$300,MATCH($A372,메뉴구조!$A$5:$A$300,0))&amp;""</f>
        <v>종목상세</v>
      </c>
      <c r="E372" s="19" t="str">
        <f>INDEX(메뉴구조!$E$5:$E$300,MATCH($A372,메뉴구조!$A$5:$A$300,0))&amp;""</f>
        <v>호가&gt; 판매 호가 클릭시</v>
      </c>
      <c r="F372" s="9" t="str">
        <f>INDEX(메뉴구조!$G$5:$G$300,MATCH($A372,메뉴구조!$A$5:$A$300,0))&amp;""</f>
        <v>거래 / 종목 / 종목상세 / 호가&gt; 판매 호가 클릭시</v>
      </c>
      <c r="G372" s="18">
        <v>5</v>
      </c>
      <c r="H372" s="9" t="s">
        <v>1375</v>
      </c>
      <c r="I372" s="9" t="s">
        <v>1376</v>
      </c>
      <c r="J372" s="9"/>
      <c r="K372" s="25" t="s">
        <v>13</v>
      </c>
      <c r="L372" s="9" t="s">
        <v>851</v>
      </c>
      <c r="M372" s="9"/>
    </row>
    <row r="373" spans="1:13" ht="50" hidden="1">
      <c r="A373" s="18" t="s">
        <v>320</v>
      </c>
      <c r="B373" s="19" t="str">
        <f>INDEX(메뉴구조!$B$5:$B$300,MATCH($A373,메뉴구조!$A$5:$A$300,0))&amp;""</f>
        <v>거래</v>
      </c>
      <c r="C373" s="19" t="str">
        <f>INDEX(메뉴구조!$C$5:$C$300,MATCH($A373,메뉴구조!$A$5:$A$300,0))&amp;""</f>
        <v>종목</v>
      </c>
      <c r="D373" s="19" t="str">
        <f>INDEX(메뉴구조!$D$5:$D$300,MATCH($A373,메뉴구조!$A$5:$A$300,0))&amp;""</f>
        <v>종목상세</v>
      </c>
      <c r="E373" s="19" t="str">
        <f>INDEX(메뉴구조!$E$5:$E$300,MATCH($A373,메뉴구조!$A$5:$A$300,0))&amp;""</f>
        <v>주문 (일반)&gt; 판매&gt; 판매희망가</v>
      </c>
      <c r="F373" s="9" t="str">
        <f>INDEX(메뉴구조!$G$5:$G$300,MATCH($A373,메뉴구조!$A$5:$A$300,0))&amp;""</f>
        <v>거래 / 종목 / 종목상세 / 주문 (일반)&gt; 판매&gt; 판매희망가</v>
      </c>
      <c r="G373" s="18">
        <v>1</v>
      </c>
      <c r="H373" s="9" t="s">
        <v>1377</v>
      </c>
      <c r="I373" s="9" t="s">
        <v>1378</v>
      </c>
      <c r="J373" s="9"/>
      <c r="K373" s="25" t="s">
        <v>13</v>
      </c>
      <c r="L373" s="9" t="s">
        <v>851</v>
      </c>
      <c r="M373" s="9"/>
    </row>
    <row r="374" spans="1:13" ht="25" hidden="1">
      <c r="A374" s="18" t="s">
        <v>320</v>
      </c>
      <c r="B374" s="19" t="str">
        <f>INDEX(메뉴구조!$B$5:$B$300,MATCH($A374,메뉴구조!$A$5:$A$300,0))&amp;""</f>
        <v>거래</v>
      </c>
      <c r="C374" s="19" t="str">
        <f>INDEX(메뉴구조!$C$5:$C$300,MATCH($A374,메뉴구조!$A$5:$A$300,0))&amp;""</f>
        <v>종목</v>
      </c>
      <c r="D374" s="19" t="str">
        <f>INDEX(메뉴구조!$D$5:$D$300,MATCH($A374,메뉴구조!$A$5:$A$300,0))&amp;""</f>
        <v>종목상세</v>
      </c>
      <c r="E374" s="19" t="str">
        <f>INDEX(메뉴구조!$E$5:$E$300,MATCH($A374,메뉴구조!$A$5:$A$300,0))&amp;""</f>
        <v>주문 (일반)&gt; 판매&gt; 판매희망가</v>
      </c>
      <c r="F374" s="9" t="str">
        <f>INDEX(메뉴구조!$G$5:$G$300,MATCH($A374,메뉴구조!$A$5:$A$300,0))&amp;""</f>
        <v>거래 / 종목 / 종목상세 / 주문 (일반)&gt; 판매&gt; 판매희망가</v>
      </c>
      <c r="G374" s="18">
        <v>2</v>
      </c>
      <c r="H374" s="9" t="s">
        <v>1379</v>
      </c>
      <c r="I374" s="9" t="s">
        <v>1380</v>
      </c>
      <c r="J374" s="9"/>
      <c r="K374" s="25" t="s">
        <v>13</v>
      </c>
      <c r="L374" s="9" t="s">
        <v>851</v>
      </c>
      <c r="M374" s="9"/>
    </row>
    <row r="375" spans="1:13" ht="25" hidden="1">
      <c r="A375" s="18" t="s">
        <v>320</v>
      </c>
      <c r="B375" s="19" t="str">
        <f>INDEX(메뉴구조!$B$5:$B$300,MATCH($A375,메뉴구조!$A$5:$A$300,0))&amp;""</f>
        <v>거래</v>
      </c>
      <c r="C375" s="19" t="str">
        <f>INDEX(메뉴구조!$C$5:$C$300,MATCH($A375,메뉴구조!$A$5:$A$300,0))&amp;""</f>
        <v>종목</v>
      </c>
      <c r="D375" s="19" t="str">
        <f>INDEX(메뉴구조!$D$5:$D$300,MATCH($A375,메뉴구조!$A$5:$A$300,0))&amp;""</f>
        <v>종목상세</v>
      </c>
      <c r="E375" s="19" t="str">
        <f>INDEX(메뉴구조!$E$5:$E$300,MATCH($A375,메뉴구조!$A$5:$A$300,0))&amp;""</f>
        <v>주문 (일반)&gt; 판매&gt; 판매희망가</v>
      </c>
      <c r="F375" s="9" t="str">
        <f>INDEX(메뉴구조!$G$5:$G$300,MATCH($A375,메뉴구조!$A$5:$A$300,0))&amp;""</f>
        <v>거래 / 종목 / 종목상세 / 주문 (일반)&gt; 판매&gt; 판매희망가</v>
      </c>
      <c r="G375" s="18">
        <v>3</v>
      </c>
      <c r="H375" s="9" t="s">
        <v>1381</v>
      </c>
      <c r="I375" s="9" t="s">
        <v>1382</v>
      </c>
      <c r="J375" s="9"/>
      <c r="K375" s="25" t="s">
        <v>13</v>
      </c>
      <c r="L375" s="9" t="s">
        <v>851</v>
      </c>
      <c r="M375" s="9"/>
    </row>
    <row r="376" spans="1:13" ht="25" hidden="1">
      <c r="A376" s="18" t="s">
        <v>320</v>
      </c>
      <c r="B376" s="19" t="str">
        <f>INDEX(메뉴구조!$B$5:$B$300,MATCH($A376,메뉴구조!$A$5:$A$300,0))&amp;""</f>
        <v>거래</v>
      </c>
      <c r="C376" s="19" t="str">
        <f>INDEX(메뉴구조!$C$5:$C$300,MATCH($A376,메뉴구조!$A$5:$A$300,0))&amp;""</f>
        <v>종목</v>
      </c>
      <c r="D376" s="19" t="str">
        <f>INDEX(메뉴구조!$D$5:$D$300,MATCH($A376,메뉴구조!$A$5:$A$300,0))&amp;""</f>
        <v>종목상세</v>
      </c>
      <c r="E376" s="19" t="str">
        <f>INDEX(메뉴구조!$E$5:$E$300,MATCH($A376,메뉴구조!$A$5:$A$300,0))&amp;""</f>
        <v>주문 (일반)&gt; 판매&gt; 판매희망가</v>
      </c>
      <c r="F376" s="9" t="str">
        <f>INDEX(메뉴구조!$G$5:$G$300,MATCH($A376,메뉴구조!$A$5:$A$300,0))&amp;""</f>
        <v>거래 / 종목 / 종목상세 / 주문 (일반)&gt; 판매&gt; 판매희망가</v>
      </c>
      <c r="G376" s="18">
        <v>4</v>
      </c>
      <c r="H376" s="9" t="s">
        <v>1363</v>
      </c>
      <c r="I376" s="9" t="s">
        <v>1383</v>
      </c>
      <c r="J376" s="9"/>
      <c r="K376" s="25" t="s">
        <v>13</v>
      </c>
      <c r="L376" s="9" t="s">
        <v>851</v>
      </c>
      <c r="M376" s="9"/>
    </row>
    <row r="377" spans="1:13" ht="37.5" hidden="1">
      <c r="A377" s="18" t="s">
        <v>322</v>
      </c>
      <c r="B377" s="19" t="str">
        <f>INDEX(메뉴구조!$B$5:$B$300,MATCH($A377,메뉴구조!$A$5:$A$300,0))&amp;""</f>
        <v>거래</v>
      </c>
      <c r="C377" s="19" t="str">
        <f>INDEX(메뉴구조!$C$5:$C$300,MATCH($A377,메뉴구조!$A$5:$A$300,0))&amp;""</f>
        <v>종목</v>
      </c>
      <c r="D377" s="19" t="str">
        <f>INDEX(메뉴구조!$D$5:$D$300,MATCH($A377,메뉴구조!$A$5:$A$300,0))&amp;""</f>
        <v>종목상세</v>
      </c>
      <c r="E377" s="19" t="str">
        <f>INDEX(메뉴구조!$E$5:$E$300,MATCH($A377,메뉴구조!$A$5:$A$300,0))&amp;""</f>
        <v>커뮤니티&gt; 상세보기</v>
      </c>
      <c r="F377" s="9" t="str">
        <f>INDEX(메뉴구조!$G$5:$G$300,MATCH($A377,메뉴구조!$A$5:$A$300,0))&amp;""</f>
        <v>거래 / 종목 / 종목상세 / 커뮤니티&gt; 상세보기</v>
      </c>
      <c r="G377" s="18">
        <v>1</v>
      </c>
      <c r="H377" s="9" t="s">
        <v>1384</v>
      </c>
      <c r="I377" s="9" t="s">
        <v>1385</v>
      </c>
      <c r="J377" s="9"/>
      <c r="K377" s="25" t="s">
        <v>13</v>
      </c>
      <c r="L377" s="9" t="s">
        <v>851</v>
      </c>
      <c r="M377" s="9"/>
    </row>
    <row r="378" spans="1:13" ht="25" hidden="1">
      <c r="A378" s="18" t="s">
        <v>322</v>
      </c>
      <c r="B378" s="19" t="str">
        <f>INDEX(메뉴구조!$B$5:$B$300,MATCH($A378,메뉴구조!$A$5:$A$300,0))&amp;""</f>
        <v>거래</v>
      </c>
      <c r="C378" s="19" t="str">
        <f>INDEX(메뉴구조!$C$5:$C$300,MATCH($A378,메뉴구조!$A$5:$A$300,0))&amp;""</f>
        <v>종목</v>
      </c>
      <c r="D378" s="19" t="str">
        <f>INDEX(메뉴구조!$D$5:$D$300,MATCH($A378,메뉴구조!$A$5:$A$300,0))&amp;""</f>
        <v>종목상세</v>
      </c>
      <c r="E378" s="19" t="str">
        <f>INDEX(메뉴구조!$E$5:$E$300,MATCH($A378,메뉴구조!$A$5:$A$300,0))&amp;""</f>
        <v>커뮤니티&gt; 상세보기</v>
      </c>
      <c r="F378" s="9" t="str">
        <f>INDEX(메뉴구조!$G$5:$G$300,MATCH($A378,메뉴구조!$A$5:$A$300,0))&amp;""</f>
        <v>거래 / 종목 / 종목상세 / 커뮤니티&gt; 상세보기</v>
      </c>
      <c r="G378" s="18">
        <v>2</v>
      </c>
      <c r="H378" s="9" t="s">
        <v>1386</v>
      </c>
      <c r="I378" s="9" t="s">
        <v>1387</v>
      </c>
      <c r="J378" s="9"/>
      <c r="K378" s="25" t="s">
        <v>13</v>
      </c>
      <c r="L378" s="9" t="s">
        <v>851</v>
      </c>
      <c r="M378" s="9"/>
    </row>
    <row r="379" spans="1:13" ht="25" hidden="1">
      <c r="A379" s="18" t="s">
        <v>322</v>
      </c>
      <c r="B379" s="19" t="str">
        <f>INDEX(메뉴구조!$B$5:$B$300,MATCH($A379,메뉴구조!$A$5:$A$300,0))&amp;""</f>
        <v>거래</v>
      </c>
      <c r="C379" s="19" t="str">
        <f>INDEX(메뉴구조!$C$5:$C$300,MATCH($A379,메뉴구조!$A$5:$A$300,0))&amp;""</f>
        <v>종목</v>
      </c>
      <c r="D379" s="19" t="str">
        <f>INDEX(메뉴구조!$D$5:$D$300,MATCH($A379,메뉴구조!$A$5:$A$300,0))&amp;""</f>
        <v>종목상세</v>
      </c>
      <c r="E379" s="19" t="str">
        <f>INDEX(메뉴구조!$E$5:$E$300,MATCH($A379,메뉴구조!$A$5:$A$300,0))&amp;""</f>
        <v>커뮤니티&gt; 상세보기</v>
      </c>
      <c r="F379" s="9" t="str">
        <f>INDEX(메뉴구조!$G$5:$G$300,MATCH($A379,메뉴구조!$A$5:$A$300,0))&amp;""</f>
        <v>거래 / 종목 / 종목상세 / 커뮤니티&gt; 상세보기</v>
      </c>
      <c r="G379" s="18">
        <v>3</v>
      </c>
      <c r="H379" s="9" t="s">
        <v>1331</v>
      </c>
      <c r="I379" s="9" t="s">
        <v>1388</v>
      </c>
      <c r="J379" s="9" t="s">
        <v>1389</v>
      </c>
      <c r="K379" s="25" t="s">
        <v>13</v>
      </c>
      <c r="L379" s="9" t="s">
        <v>851</v>
      </c>
      <c r="M379" s="9"/>
    </row>
    <row r="380" spans="1:13" ht="25" hidden="1">
      <c r="A380" s="18" t="s">
        <v>322</v>
      </c>
      <c r="B380" s="19" t="str">
        <f>INDEX(메뉴구조!$B$5:$B$300,MATCH($A380,메뉴구조!$A$5:$A$300,0))&amp;""</f>
        <v>거래</v>
      </c>
      <c r="C380" s="19" t="str">
        <f>INDEX(메뉴구조!$C$5:$C$300,MATCH($A380,메뉴구조!$A$5:$A$300,0))&amp;""</f>
        <v>종목</v>
      </c>
      <c r="D380" s="19" t="str">
        <f>INDEX(메뉴구조!$D$5:$D$300,MATCH($A380,메뉴구조!$A$5:$A$300,0))&amp;""</f>
        <v>종목상세</v>
      </c>
      <c r="E380" s="19" t="str">
        <f>INDEX(메뉴구조!$E$5:$E$300,MATCH($A380,메뉴구조!$A$5:$A$300,0))&amp;""</f>
        <v>커뮤니티&gt; 상세보기</v>
      </c>
      <c r="F380" s="9" t="str">
        <f>INDEX(메뉴구조!$G$5:$G$300,MATCH($A380,메뉴구조!$A$5:$A$300,0))&amp;""</f>
        <v>거래 / 종목 / 종목상세 / 커뮤니티&gt; 상세보기</v>
      </c>
      <c r="G380" s="18">
        <v>4</v>
      </c>
      <c r="H380" s="9" t="s">
        <v>1390</v>
      </c>
      <c r="I380" s="9" t="s">
        <v>1391</v>
      </c>
      <c r="J380" s="9"/>
      <c r="K380" s="25" t="s">
        <v>13</v>
      </c>
      <c r="L380" s="9" t="s">
        <v>851</v>
      </c>
      <c r="M380" s="9"/>
    </row>
    <row r="381" spans="1:13" ht="37.5" hidden="1">
      <c r="A381" s="18" t="s">
        <v>322</v>
      </c>
      <c r="B381" s="19" t="str">
        <f>INDEX(메뉴구조!$B$5:$B$300,MATCH($A381,메뉴구조!$A$5:$A$300,0))&amp;""</f>
        <v>거래</v>
      </c>
      <c r="C381" s="19" t="str">
        <f>INDEX(메뉴구조!$C$5:$C$300,MATCH($A381,메뉴구조!$A$5:$A$300,0))&amp;""</f>
        <v>종목</v>
      </c>
      <c r="D381" s="19" t="str">
        <f>INDEX(메뉴구조!$D$5:$D$300,MATCH($A381,메뉴구조!$A$5:$A$300,0))&amp;""</f>
        <v>종목상세</v>
      </c>
      <c r="E381" s="19" t="str">
        <f>INDEX(메뉴구조!$E$5:$E$300,MATCH($A381,메뉴구조!$A$5:$A$300,0))&amp;""</f>
        <v>커뮤니티&gt; 상세보기</v>
      </c>
      <c r="F381" s="9" t="str">
        <f>INDEX(메뉴구조!$G$5:$G$300,MATCH($A381,메뉴구조!$A$5:$A$300,0))&amp;""</f>
        <v>거래 / 종목 / 종목상세 / 커뮤니티&gt; 상세보기</v>
      </c>
      <c r="G381" s="18">
        <v>5</v>
      </c>
      <c r="H381" s="9" t="s">
        <v>1392</v>
      </c>
      <c r="I381" s="9" t="s">
        <v>1393</v>
      </c>
      <c r="J381" s="9" t="s">
        <v>1394</v>
      </c>
      <c r="K381" s="25" t="s">
        <v>13</v>
      </c>
      <c r="L381" s="9" t="s">
        <v>851</v>
      </c>
      <c r="M381" s="9"/>
    </row>
    <row r="382" spans="1:13" ht="25" hidden="1">
      <c r="A382" s="18" t="s">
        <v>325</v>
      </c>
      <c r="B382" s="19" t="str">
        <f>INDEX(메뉴구조!$B$5:$B$300,MATCH($A382,메뉴구조!$A$5:$A$300,0))&amp;""</f>
        <v>거래</v>
      </c>
      <c r="C382" s="19" t="str">
        <f>INDEX(메뉴구조!$C$5:$C$300,MATCH($A382,메뉴구조!$A$5:$A$300,0))&amp;""</f>
        <v>종목</v>
      </c>
      <c r="D382" s="19" t="str">
        <f>INDEX(메뉴구조!$D$5:$D$300,MATCH($A382,메뉴구조!$A$5:$A$300,0))&amp;""</f>
        <v>종목상세</v>
      </c>
      <c r="E382" s="19" t="str">
        <f>INDEX(메뉴구조!$E$5:$E$300,MATCH($A382,메뉴구조!$A$5:$A$300,0))&amp;""</f>
        <v>커뮤니티&gt; 상세보기_신고하기</v>
      </c>
      <c r="F382" s="9" t="str">
        <f>INDEX(메뉴구조!$G$5:$G$300,MATCH($A382,메뉴구조!$A$5:$A$300,0))&amp;""</f>
        <v>거래 / 종목 / 종목상세 / 커뮤니티&gt; 상세보기_신고하기</v>
      </c>
      <c r="G382" s="18">
        <v>1</v>
      </c>
      <c r="H382" s="31" t="s">
        <v>1395</v>
      </c>
      <c r="I382" s="31" t="s">
        <v>1396</v>
      </c>
      <c r="J382" s="9" t="s">
        <v>1397</v>
      </c>
      <c r="K382" s="20" t="s">
        <v>9</v>
      </c>
      <c r="L382" s="9" t="s">
        <v>1398</v>
      </c>
      <c r="M382" s="9" t="s">
        <v>1399</v>
      </c>
    </row>
    <row r="383" spans="1:13" ht="25" hidden="1">
      <c r="A383" s="18" t="s">
        <v>325</v>
      </c>
      <c r="B383" s="19" t="str">
        <f>INDEX(메뉴구조!$B$5:$B$300,MATCH($A383,메뉴구조!$A$5:$A$300,0))&amp;""</f>
        <v>거래</v>
      </c>
      <c r="C383" s="19" t="str">
        <f>INDEX(메뉴구조!$C$5:$C$300,MATCH($A383,메뉴구조!$A$5:$A$300,0))&amp;""</f>
        <v>종목</v>
      </c>
      <c r="D383" s="19" t="str">
        <f>INDEX(메뉴구조!$D$5:$D$300,MATCH($A383,메뉴구조!$A$5:$A$300,0))&amp;""</f>
        <v>종목상세</v>
      </c>
      <c r="E383" s="19" t="str">
        <f>INDEX(메뉴구조!$E$5:$E$300,MATCH($A383,메뉴구조!$A$5:$A$300,0))&amp;""</f>
        <v>커뮤니티&gt; 상세보기_신고하기</v>
      </c>
      <c r="F383" s="9" t="str">
        <f>INDEX(메뉴구조!$G$5:$G$300,MATCH($A383,메뉴구조!$A$5:$A$300,0))&amp;""</f>
        <v>거래 / 종목 / 종목상세 / 커뮤니티&gt; 상세보기_신고하기</v>
      </c>
      <c r="G383" s="18">
        <v>2</v>
      </c>
      <c r="H383" s="9" t="s">
        <v>1400</v>
      </c>
      <c r="I383" s="9" t="s">
        <v>1401</v>
      </c>
      <c r="J383" s="9"/>
      <c r="K383" s="18" t="s">
        <v>17</v>
      </c>
      <c r="L383" s="9"/>
      <c r="M383" s="9"/>
    </row>
    <row r="384" spans="1:13" ht="25" hidden="1">
      <c r="A384" s="18" t="s">
        <v>325</v>
      </c>
      <c r="B384" s="19" t="str">
        <f>INDEX(메뉴구조!$B$5:$B$300,MATCH($A384,메뉴구조!$A$5:$A$300,0))&amp;""</f>
        <v>거래</v>
      </c>
      <c r="C384" s="19" t="str">
        <f>INDEX(메뉴구조!$C$5:$C$300,MATCH($A384,메뉴구조!$A$5:$A$300,0))&amp;""</f>
        <v>종목</v>
      </c>
      <c r="D384" s="19" t="str">
        <f>INDEX(메뉴구조!$D$5:$D$300,MATCH($A384,메뉴구조!$A$5:$A$300,0))&amp;""</f>
        <v>종목상세</v>
      </c>
      <c r="E384" s="19" t="str">
        <f>INDEX(메뉴구조!$E$5:$E$300,MATCH($A384,메뉴구조!$A$5:$A$300,0))&amp;""</f>
        <v>커뮤니티&gt; 상세보기_신고하기</v>
      </c>
      <c r="F384" s="9" t="str">
        <f>INDEX(메뉴구조!$G$5:$G$300,MATCH($A384,메뉴구조!$A$5:$A$300,0))&amp;""</f>
        <v>거래 / 종목 / 종목상세 / 커뮤니티&gt; 상세보기_신고하기</v>
      </c>
      <c r="G384" s="18">
        <v>3</v>
      </c>
      <c r="H384" s="31" t="s">
        <v>1402</v>
      </c>
      <c r="I384" s="31" t="s">
        <v>1403</v>
      </c>
      <c r="J384" s="9"/>
      <c r="K384" s="20" t="s">
        <v>9</v>
      </c>
      <c r="L384" s="9" t="s">
        <v>1404</v>
      </c>
      <c r="M384" s="9" t="s">
        <v>1405</v>
      </c>
    </row>
    <row r="385" spans="1:13" ht="50" hidden="1">
      <c r="A385" s="18" t="s">
        <v>329</v>
      </c>
      <c r="B385" s="19" t="str">
        <f>INDEX(메뉴구조!$B$5:$B$300,MATCH($A385,메뉴구조!$A$5:$A$300,0))&amp;""</f>
        <v>거래</v>
      </c>
      <c r="C385" s="19" t="str">
        <f>INDEX(메뉴구조!$C$5:$C$300,MATCH($A385,메뉴구조!$A$5:$A$300,0))&amp;""</f>
        <v>종목</v>
      </c>
      <c r="D385" s="19" t="str">
        <f>INDEX(메뉴구조!$D$5:$D$300,MATCH($A385,메뉴구조!$A$5:$A$300,0))&amp;""</f>
        <v>종목상세</v>
      </c>
      <c r="E385" s="19" t="str">
        <f>INDEX(메뉴구조!$E$5:$E$300,MATCH($A385,메뉴구조!$A$5:$A$300,0))&amp;""</f>
        <v>커뮤니티&gt; 상세보기_신고하기 이유</v>
      </c>
      <c r="F385" s="9" t="str">
        <f>INDEX(메뉴구조!$G$5:$G$300,MATCH($A385,메뉴구조!$A$5:$A$300,0))&amp;""</f>
        <v>거래 / 종목 / 종목상세 / 커뮤니티&gt; 상세보기_신고하기 이유</v>
      </c>
      <c r="G385" s="18">
        <v>1</v>
      </c>
      <c r="H385" s="9" t="s">
        <v>1406</v>
      </c>
      <c r="I385" s="9" t="s">
        <v>1407</v>
      </c>
      <c r="J385" s="9"/>
      <c r="K385" s="18" t="s">
        <v>17</v>
      </c>
      <c r="L385" s="9"/>
      <c r="M385" s="9"/>
    </row>
    <row r="386" spans="1:13" ht="25" hidden="1">
      <c r="A386" s="18" t="s">
        <v>329</v>
      </c>
      <c r="B386" s="19" t="str">
        <f>INDEX(메뉴구조!$B$5:$B$300,MATCH($A386,메뉴구조!$A$5:$A$300,0))&amp;""</f>
        <v>거래</v>
      </c>
      <c r="C386" s="19" t="str">
        <f>INDEX(메뉴구조!$C$5:$C$300,MATCH($A386,메뉴구조!$A$5:$A$300,0))&amp;""</f>
        <v>종목</v>
      </c>
      <c r="D386" s="19" t="str">
        <f>INDEX(메뉴구조!$D$5:$D$300,MATCH($A386,메뉴구조!$A$5:$A$300,0))&amp;""</f>
        <v>종목상세</v>
      </c>
      <c r="E386" s="19" t="str">
        <f>INDEX(메뉴구조!$E$5:$E$300,MATCH($A386,메뉴구조!$A$5:$A$300,0))&amp;""</f>
        <v>커뮤니티&gt; 상세보기_신고하기 이유</v>
      </c>
      <c r="F386" s="9" t="str">
        <f>INDEX(메뉴구조!$G$5:$G$300,MATCH($A386,메뉴구조!$A$5:$A$300,0))&amp;""</f>
        <v>거래 / 종목 / 종목상세 / 커뮤니티&gt; 상세보기_신고하기 이유</v>
      </c>
      <c r="G386" s="18">
        <v>2</v>
      </c>
      <c r="H386" s="9" t="s">
        <v>1408</v>
      </c>
      <c r="I386" s="9" t="s">
        <v>1409</v>
      </c>
      <c r="J386" s="9"/>
      <c r="K386" s="18" t="s">
        <v>17</v>
      </c>
      <c r="L386" s="9"/>
      <c r="M386" s="9"/>
    </row>
    <row r="387" spans="1:13" ht="25" hidden="1">
      <c r="A387" s="18" t="s">
        <v>329</v>
      </c>
      <c r="B387" s="19" t="str">
        <f>INDEX(메뉴구조!$B$5:$B$300,MATCH($A387,메뉴구조!$A$5:$A$300,0))&amp;""</f>
        <v>거래</v>
      </c>
      <c r="C387" s="19" t="str">
        <f>INDEX(메뉴구조!$C$5:$C$300,MATCH($A387,메뉴구조!$A$5:$A$300,0))&amp;""</f>
        <v>종목</v>
      </c>
      <c r="D387" s="19" t="str">
        <f>INDEX(메뉴구조!$D$5:$D$300,MATCH($A387,메뉴구조!$A$5:$A$300,0))&amp;""</f>
        <v>종목상세</v>
      </c>
      <c r="E387" s="19" t="str">
        <f>INDEX(메뉴구조!$E$5:$E$300,MATCH($A387,메뉴구조!$A$5:$A$300,0))&amp;""</f>
        <v>커뮤니티&gt; 상세보기_신고하기 이유</v>
      </c>
      <c r="F387" s="9" t="str">
        <f>INDEX(메뉴구조!$G$5:$G$300,MATCH($A387,메뉴구조!$A$5:$A$300,0))&amp;""</f>
        <v>거래 / 종목 / 종목상세 / 커뮤니티&gt; 상세보기_신고하기 이유</v>
      </c>
      <c r="G387" s="18">
        <v>3</v>
      </c>
      <c r="H387" s="9" t="s">
        <v>1410</v>
      </c>
      <c r="I387" s="9" t="s">
        <v>1411</v>
      </c>
      <c r="J387" s="9" t="s">
        <v>1412</v>
      </c>
      <c r="K387" s="18" t="s">
        <v>17</v>
      </c>
      <c r="L387" s="9"/>
      <c r="M387" s="9"/>
    </row>
    <row r="388" spans="1:13" ht="25" hidden="1">
      <c r="A388" s="18" t="s">
        <v>329</v>
      </c>
      <c r="B388" s="19" t="str">
        <f>INDEX(메뉴구조!$B$5:$B$300,MATCH($A388,메뉴구조!$A$5:$A$300,0))&amp;""</f>
        <v>거래</v>
      </c>
      <c r="C388" s="19" t="str">
        <f>INDEX(메뉴구조!$C$5:$C$300,MATCH($A388,메뉴구조!$A$5:$A$300,0))&amp;""</f>
        <v>종목</v>
      </c>
      <c r="D388" s="19" t="str">
        <f>INDEX(메뉴구조!$D$5:$D$300,MATCH($A388,메뉴구조!$A$5:$A$300,0))&amp;""</f>
        <v>종목상세</v>
      </c>
      <c r="E388" s="19" t="str">
        <f>INDEX(메뉴구조!$E$5:$E$300,MATCH($A388,메뉴구조!$A$5:$A$300,0))&amp;""</f>
        <v>커뮤니티&gt; 상세보기_신고하기 이유</v>
      </c>
      <c r="F388" s="9" t="str">
        <f>INDEX(메뉴구조!$G$5:$G$300,MATCH($A388,메뉴구조!$A$5:$A$300,0))&amp;""</f>
        <v>거래 / 종목 / 종목상세 / 커뮤니티&gt; 상세보기_신고하기 이유</v>
      </c>
      <c r="G388" s="18">
        <v>4</v>
      </c>
      <c r="H388" s="9" t="s">
        <v>1413</v>
      </c>
      <c r="I388" s="9" t="s">
        <v>1414</v>
      </c>
      <c r="J388" s="9"/>
      <c r="K388" s="18" t="s">
        <v>17</v>
      </c>
      <c r="L388" s="9"/>
      <c r="M388" s="9"/>
    </row>
    <row r="389" spans="1:13" ht="25" hidden="1">
      <c r="A389" s="18" t="s">
        <v>333</v>
      </c>
      <c r="B389" s="19" t="str">
        <f>INDEX(메뉴구조!$B$5:$B$300,MATCH($A389,메뉴구조!$A$5:$A$300,0))&amp;""</f>
        <v>거래</v>
      </c>
      <c r="C389" s="19" t="str">
        <f>INDEX(메뉴구조!$C$5:$C$300,MATCH($A389,메뉴구조!$A$5:$A$300,0))&amp;""</f>
        <v>종목</v>
      </c>
      <c r="D389" s="19" t="str">
        <f>INDEX(메뉴구조!$D$5:$D$300,MATCH($A389,메뉴구조!$A$5:$A$300,0))&amp;""</f>
        <v>종목상세</v>
      </c>
      <c r="E389" s="19" t="str">
        <f>INDEX(메뉴구조!$E$5:$E$300,MATCH($A389,메뉴구조!$A$5:$A$300,0))&amp;""</f>
        <v>커뮤니티&gt; 글쓰기(1&gt; 2)</v>
      </c>
      <c r="F389" s="9" t="str">
        <f>INDEX(메뉴구조!$G$5:$G$300,MATCH($A389,메뉴구조!$A$5:$A$300,0))&amp;""</f>
        <v>거래 / 종목 / 종목상세 / 커뮤니티&gt; 글쓰기(1&gt; 2)</v>
      </c>
      <c r="G389" s="18">
        <v>1</v>
      </c>
      <c r="H389" s="9" t="s">
        <v>1415</v>
      </c>
      <c r="I389" s="9" t="s">
        <v>1416</v>
      </c>
      <c r="J389" s="9" t="s">
        <v>1417</v>
      </c>
      <c r="K389" s="18" t="s">
        <v>17</v>
      </c>
      <c r="L389" s="9"/>
      <c r="M389" s="9"/>
    </row>
    <row r="390" spans="1:13" ht="25" hidden="1">
      <c r="A390" s="18" t="s">
        <v>333</v>
      </c>
      <c r="B390" s="19" t="str">
        <f>INDEX(메뉴구조!$B$5:$B$300,MATCH($A390,메뉴구조!$A$5:$A$300,0))&amp;""</f>
        <v>거래</v>
      </c>
      <c r="C390" s="19" t="str">
        <f>INDEX(메뉴구조!$C$5:$C$300,MATCH($A390,메뉴구조!$A$5:$A$300,0))&amp;""</f>
        <v>종목</v>
      </c>
      <c r="D390" s="19" t="str">
        <f>INDEX(메뉴구조!$D$5:$D$300,MATCH($A390,메뉴구조!$A$5:$A$300,0))&amp;""</f>
        <v>종목상세</v>
      </c>
      <c r="E390" s="19" t="str">
        <f>INDEX(메뉴구조!$E$5:$E$300,MATCH($A390,메뉴구조!$A$5:$A$300,0))&amp;""</f>
        <v>커뮤니티&gt; 글쓰기(1&gt; 2)</v>
      </c>
      <c r="F390" s="9" t="str">
        <f>INDEX(메뉴구조!$G$5:$G$300,MATCH($A390,메뉴구조!$A$5:$A$300,0))&amp;""</f>
        <v>거래 / 종목 / 종목상세 / 커뮤니티&gt; 글쓰기(1&gt; 2)</v>
      </c>
      <c r="G390" s="18">
        <v>2</v>
      </c>
      <c r="H390" s="9" t="s">
        <v>1418</v>
      </c>
      <c r="I390" s="9" t="s">
        <v>1419</v>
      </c>
      <c r="J390" s="9" t="s">
        <v>1420</v>
      </c>
      <c r="K390" s="18" t="s">
        <v>17</v>
      </c>
      <c r="L390" s="9"/>
      <c r="M390" s="9"/>
    </row>
    <row r="391" spans="1:13" ht="25" hidden="1">
      <c r="A391" s="18" t="s">
        <v>333</v>
      </c>
      <c r="B391" s="19" t="str">
        <f>INDEX(메뉴구조!$B$5:$B$300,MATCH($A391,메뉴구조!$A$5:$A$300,0))&amp;""</f>
        <v>거래</v>
      </c>
      <c r="C391" s="19" t="str">
        <f>INDEX(메뉴구조!$C$5:$C$300,MATCH($A391,메뉴구조!$A$5:$A$300,0))&amp;""</f>
        <v>종목</v>
      </c>
      <c r="D391" s="19" t="str">
        <f>INDEX(메뉴구조!$D$5:$D$300,MATCH($A391,메뉴구조!$A$5:$A$300,0))&amp;""</f>
        <v>종목상세</v>
      </c>
      <c r="E391" s="19" t="str">
        <f>INDEX(메뉴구조!$E$5:$E$300,MATCH($A391,메뉴구조!$A$5:$A$300,0))&amp;""</f>
        <v>커뮤니티&gt; 글쓰기(1&gt; 2)</v>
      </c>
      <c r="F391" s="9" t="str">
        <f>INDEX(메뉴구조!$G$5:$G$300,MATCH($A391,메뉴구조!$A$5:$A$300,0))&amp;""</f>
        <v>거래 / 종목 / 종목상세 / 커뮤니티&gt; 글쓰기(1&gt; 2)</v>
      </c>
      <c r="G391" s="18">
        <v>3</v>
      </c>
      <c r="H391" s="9" t="s">
        <v>1421</v>
      </c>
      <c r="I391" s="9" t="s">
        <v>1422</v>
      </c>
      <c r="J391" s="9"/>
      <c r="K391" s="18" t="s">
        <v>17</v>
      </c>
      <c r="L391" s="9"/>
      <c r="M391" s="9"/>
    </row>
    <row r="392" spans="1:13" ht="25" hidden="1">
      <c r="A392" s="18" t="s">
        <v>333</v>
      </c>
      <c r="B392" s="19" t="str">
        <f>INDEX(메뉴구조!$B$5:$B$300,MATCH($A392,메뉴구조!$A$5:$A$300,0))&amp;""</f>
        <v>거래</v>
      </c>
      <c r="C392" s="19" t="str">
        <f>INDEX(메뉴구조!$C$5:$C$300,MATCH($A392,메뉴구조!$A$5:$A$300,0))&amp;""</f>
        <v>종목</v>
      </c>
      <c r="D392" s="19" t="str">
        <f>INDEX(메뉴구조!$D$5:$D$300,MATCH($A392,메뉴구조!$A$5:$A$300,0))&amp;""</f>
        <v>종목상세</v>
      </c>
      <c r="E392" s="19" t="str">
        <f>INDEX(메뉴구조!$E$5:$E$300,MATCH($A392,메뉴구조!$A$5:$A$300,0))&amp;""</f>
        <v>커뮤니티&gt; 글쓰기(1&gt; 2)</v>
      </c>
      <c r="F392" s="9" t="str">
        <f>INDEX(메뉴구조!$G$5:$G$300,MATCH($A392,메뉴구조!$A$5:$A$300,0))&amp;""</f>
        <v>거래 / 종목 / 종목상세 / 커뮤니티&gt; 글쓰기(1&gt; 2)</v>
      </c>
      <c r="G392" s="18">
        <v>4</v>
      </c>
      <c r="H392" s="9" t="s">
        <v>1423</v>
      </c>
      <c r="I392" s="9" t="s">
        <v>1424</v>
      </c>
      <c r="J392" s="9"/>
      <c r="K392" s="18" t="s">
        <v>17</v>
      </c>
      <c r="L392" s="9"/>
      <c r="M392" s="9"/>
    </row>
    <row r="393" spans="1:13" ht="25" hidden="1">
      <c r="A393" s="18" t="s">
        <v>333</v>
      </c>
      <c r="B393" s="19" t="str">
        <f>INDEX(메뉴구조!$B$5:$B$300,MATCH($A393,메뉴구조!$A$5:$A$300,0))&amp;""</f>
        <v>거래</v>
      </c>
      <c r="C393" s="19" t="str">
        <f>INDEX(메뉴구조!$C$5:$C$300,MATCH($A393,메뉴구조!$A$5:$A$300,0))&amp;""</f>
        <v>종목</v>
      </c>
      <c r="D393" s="19" t="str">
        <f>INDEX(메뉴구조!$D$5:$D$300,MATCH($A393,메뉴구조!$A$5:$A$300,0))&amp;""</f>
        <v>종목상세</v>
      </c>
      <c r="E393" s="19" t="str">
        <f>INDEX(메뉴구조!$E$5:$E$300,MATCH($A393,메뉴구조!$A$5:$A$300,0))&amp;""</f>
        <v>커뮤니티&gt; 글쓰기(1&gt; 2)</v>
      </c>
      <c r="F393" s="9" t="str">
        <f>INDEX(메뉴구조!$G$5:$G$300,MATCH($A393,메뉴구조!$A$5:$A$300,0))&amp;""</f>
        <v>거래 / 종목 / 종목상세 / 커뮤니티&gt; 글쓰기(1&gt; 2)</v>
      </c>
      <c r="G393" s="18">
        <v>5</v>
      </c>
      <c r="H393" s="9" t="s">
        <v>1425</v>
      </c>
      <c r="I393" s="9" t="s">
        <v>1426</v>
      </c>
      <c r="J393" s="9"/>
      <c r="K393" s="18" t="s">
        <v>17</v>
      </c>
      <c r="L393" s="9"/>
      <c r="M393" s="9"/>
    </row>
    <row r="394" spans="1:13" hidden="1">
      <c r="A394" s="18" t="s">
        <v>338</v>
      </c>
      <c r="B394" s="19" t="str">
        <f>INDEX(메뉴구조!$B$5:$B$300,MATCH($A394,메뉴구조!$A$5:$A$300,0))&amp;""</f>
        <v>거래</v>
      </c>
      <c r="C394" s="19" t="str">
        <f>INDEX(메뉴구조!$C$5:$C$300,MATCH($A394,메뉴구조!$A$5:$A$300,0))&amp;""</f>
        <v>종목</v>
      </c>
      <c r="D394" s="19" t="str">
        <f>INDEX(메뉴구조!$D$5:$D$300,MATCH($A394,메뉴구조!$A$5:$A$300,0))&amp;""</f>
        <v>종목상세</v>
      </c>
      <c r="E394" s="19" t="str">
        <f>INDEX(메뉴구조!$E$5:$E$300,MATCH($A394,메뉴구조!$A$5:$A$300,0))&amp;""</f>
        <v>커뮤니티&gt; 글쓰기(2&gt; 2)</v>
      </c>
      <c r="F394" s="9" t="str">
        <f>INDEX(메뉴구조!$G$5:$G$300,MATCH($A394,메뉴구조!$A$5:$A$300,0))&amp;""</f>
        <v>거래 / 종목 / 종목상세 / 커뮤니티&gt; 글쓰기(2&gt; 2)</v>
      </c>
      <c r="G394" s="18">
        <v>1</v>
      </c>
      <c r="H394" s="9" t="s">
        <v>1427</v>
      </c>
      <c r="I394" s="9" t="s">
        <v>1428</v>
      </c>
      <c r="J394" s="9"/>
      <c r="K394" s="18" t="s">
        <v>17</v>
      </c>
      <c r="L394" s="9"/>
      <c r="M394" s="9"/>
    </row>
    <row r="395" spans="1:13" ht="25" hidden="1">
      <c r="A395" s="18" t="s">
        <v>338</v>
      </c>
      <c r="B395" s="19" t="str">
        <f>INDEX(메뉴구조!$B$5:$B$300,MATCH($A395,메뉴구조!$A$5:$A$300,0))&amp;""</f>
        <v>거래</v>
      </c>
      <c r="C395" s="19" t="str">
        <f>INDEX(메뉴구조!$C$5:$C$300,MATCH($A395,메뉴구조!$A$5:$A$300,0))&amp;""</f>
        <v>종목</v>
      </c>
      <c r="D395" s="19" t="str">
        <f>INDEX(메뉴구조!$D$5:$D$300,MATCH($A395,메뉴구조!$A$5:$A$300,0))&amp;""</f>
        <v>종목상세</v>
      </c>
      <c r="E395" s="19" t="str">
        <f>INDEX(메뉴구조!$E$5:$E$300,MATCH($A395,메뉴구조!$A$5:$A$300,0))&amp;""</f>
        <v>커뮤니티&gt; 글쓰기(2&gt; 2)</v>
      </c>
      <c r="F395" s="9" t="str">
        <f>INDEX(메뉴구조!$G$5:$G$300,MATCH($A395,메뉴구조!$A$5:$A$300,0))&amp;""</f>
        <v>거래 / 종목 / 종목상세 / 커뮤니티&gt; 글쓰기(2&gt; 2)</v>
      </c>
      <c r="G395" s="18">
        <v>2</v>
      </c>
      <c r="H395" s="9" t="s">
        <v>1429</v>
      </c>
      <c r="I395" s="9" t="s">
        <v>1430</v>
      </c>
      <c r="J395" s="9"/>
      <c r="K395" s="18" t="s">
        <v>17</v>
      </c>
      <c r="L395" s="9"/>
      <c r="M395" s="9"/>
    </row>
    <row r="396" spans="1:13" hidden="1">
      <c r="A396" s="18" t="s">
        <v>338</v>
      </c>
      <c r="B396" s="19" t="str">
        <f>INDEX(메뉴구조!$B$5:$B$300,MATCH($A396,메뉴구조!$A$5:$A$300,0))&amp;""</f>
        <v>거래</v>
      </c>
      <c r="C396" s="19" t="str">
        <f>INDEX(메뉴구조!$C$5:$C$300,MATCH($A396,메뉴구조!$A$5:$A$300,0))&amp;""</f>
        <v>종목</v>
      </c>
      <c r="D396" s="19" t="str">
        <f>INDEX(메뉴구조!$D$5:$D$300,MATCH($A396,메뉴구조!$A$5:$A$300,0))&amp;""</f>
        <v>종목상세</v>
      </c>
      <c r="E396" s="19" t="str">
        <f>INDEX(메뉴구조!$E$5:$E$300,MATCH($A396,메뉴구조!$A$5:$A$300,0))&amp;""</f>
        <v>커뮤니티&gt; 글쓰기(2&gt; 2)</v>
      </c>
      <c r="F396" s="9" t="str">
        <f>INDEX(메뉴구조!$G$5:$G$300,MATCH($A396,메뉴구조!$A$5:$A$300,0))&amp;""</f>
        <v>거래 / 종목 / 종목상세 / 커뮤니티&gt; 글쓰기(2&gt; 2)</v>
      </c>
      <c r="G396" s="18">
        <v>3</v>
      </c>
      <c r="H396" s="9" t="s">
        <v>1431</v>
      </c>
      <c r="I396" s="9" t="s">
        <v>1432</v>
      </c>
      <c r="J396" s="9"/>
      <c r="K396" s="18" t="s">
        <v>17</v>
      </c>
      <c r="L396" s="9"/>
      <c r="M396" s="9"/>
    </row>
    <row r="397" spans="1:13" ht="25" hidden="1">
      <c r="A397" s="18" t="s">
        <v>338</v>
      </c>
      <c r="B397" s="19" t="str">
        <f>INDEX(메뉴구조!$B$5:$B$300,MATCH($A397,메뉴구조!$A$5:$A$300,0))&amp;""</f>
        <v>거래</v>
      </c>
      <c r="C397" s="19" t="str">
        <f>INDEX(메뉴구조!$C$5:$C$300,MATCH($A397,메뉴구조!$A$5:$A$300,0))&amp;""</f>
        <v>종목</v>
      </c>
      <c r="D397" s="19" t="str">
        <f>INDEX(메뉴구조!$D$5:$D$300,MATCH($A397,메뉴구조!$A$5:$A$300,0))&amp;""</f>
        <v>종목상세</v>
      </c>
      <c r="E397" s="19" t="str">
        <f>INDEX(메뉴구조!$E$5:$E$300,MATCH($A397,메뉴구조!$A$5:$A$300,0))&amp;""</f>
        <v>커뮤니티&gt; 글쓰기(2&gt; 2)</v>
      </c>
      <c r="F397" s="9" t="str">
        <f>INDEX(메뉴구조!$G$5:$G$300,MATCH($A397,메뉴구조!$A$5:$A$300,0))&amp;""</f>
        <v>거래 / 종목 / 종목상세 / 커뮤니티&gt; 글쓰기(2&gt; 2)</v>
      </c>
      <c r="G397" s="18">
        <v>4</v>
      </c>
      <c r="H397" s="9" t="s">
        <v>1433</v>
      </c>
      <c r="I397" s="9" t="s">
        <v>1434</v>
      </c>
      <c r="J397" s="9"/>
      <c r="K397" s="18" t="s">
        <v>17</v>
      </c>
      <c r="L397" s="9"/>
      <c r="M397" s="9"/>
    </row>
    <row r="398" spans="1:13" ht="50" hidden="1">
      <c r="A398" s="18" t="s">
        <v>341</v>
      </c>
      <c r="B398" s="19" t="str">
        <f>INDEX(메뉴구조!$B$5:$B$300,MATCH($A398,메뉴구조!$A$5:$A$300,0))&amp;""</f>
        <v>내 주문</v>
      </c>
      <c r="C398" s="19" t="str">
        <f>INDEX(메뉴구조!$C$5:$C$300,MATCH($A398,메뉴구조!$A$5:$A$300,0))&amp;""</f>
        <v>계좌변경</v>
      </c>
      <c r="D398" s="19" t="str">
        <f>INDEX(메뉴구조!$D$5:$D$300,MATCH($A398,메뉴구조!$A$5:$A$300,0))&amp;""</f>
        <v>—</v>
      </c>
      <c r="E398" s="19" t="str">
        <f>INDEX(메뉴구조!$E$5:$E$300,MATCH($A398,메뉴구조!$A$5:$A$300,0))&amp;""</f>
        <v>—</v>
      </c>
      <c r="F398" s="9" t="str">
        <f>INDEX(메뉴구조!$G$5:$G$300,MATCH($A398,메뉴구조!$A$5:$A$300,0))&amp;""</f>
        <v>내 주문 / 계좌변경</v>
      </c>
      <c r="G398" s="18">
        <v>1</v>
      </c>
      <c r="H398" s="28" t="s">
        <v>1435</v>
      </c>
      <c r="I398" s="28" t="s">
        <v>1436</v>
      </c>
      <c r="J398" s="28"/>
      <c r="K398" s="18" t="s">
        <v>15</v>
      </c>
      <c r="L398" s="9" t="s">
        <v>1296</v>
      </c>
      <c r="M398" s="9"/>
    </row>
    <row r="399" spans="1:13" ht="37.5" hidden="1">
      <c r="A399" s="18" t="s">
        <v>341</v>
      </c>
      <c r="B399" s="19" t="str">
        <f>INDEX(메뉴구조!$B$5:$B$300,MATCH($A399,메뉴구조!$A$5:$A$300,0))&amp;""</f>
        <v>내 주문</v>
      </c>
      <c r="C399" s="19" t="str">
        <f>INDEX(메뉴구조!$C$5:$C$300,MATCH($A399,메뉴구조!$A$5:$A$300,0))&amp;""</f>
        <v>계좌변경</v>
      </c>
      <c r="D399" s="19" t="str">
        <f>INDEX(메뉴구조!$D$5:$D$300,MATCH($A399,메뉴구조!$A$5:$A$300,0))&amp;""</f>
        <v>—</v>
      </c>
      <c r="E399" s="19" t="str">
        <f>INDEX(메뉴구조!$E$5:$E$300,MATCH($A399,메뉴구조!$A$5:$A$300,0))&amp;""</f>
        <v>—</v>
      </c>
      <c r="F399" s="9" t="str">
        <f>INDEX(메뉴구조!$G$5:$G$300,MATCH($A399,메뉴구조!$A$5:$A$300,0))&amp;""</f>
        <v>내 주문 / 계좌변경</v>
      </c>
      <c r="G399" s="18">
        <v>2</v>
      </c>
      <c r="H399" s="28" t="s">
        <v>1437</v>
      </c>
      <c r="I399" s="28" t="s">
        <v>1438</v>
      </c>
      <c r="J399" s="28"/>
      <c r="K399" s="18" t="s">
        <v>15</v>
      </c>
      <c r="L399" s="9" t="s">
        <v>1296</v>
      </c>
      <c r="M399" s="9"/>
    </row>
    <row r="400" spans="1:13" ht="25" hidden="1">
      <c r="A400" s="18" t="s">
        <v>341</v>
      </c>
      <c r="B400" s="19" t="str">
        <f>INDEX(메뉴구조!$B$5:$B$300,MATCH($A400,메뉴구조!$A$5:$A$300,0))&amp;""</f>
        <v>내 주문</v>
      </c>
      <c r="C400" s="19" t="str">
        <f>INDEX(메뉴구조!$C$5:$C$300,MATCH($A400,메뉴구조!$A$5:$A$300,0))&amp;""</f>
        <v>계좌변경</v>
      </c>
      <c r="D400" s="19" t="str">
        <f>INDEX(메뉴구조!$D$5:$D$300,MATCH($A400,메뉴구조!$A$5:$A$300,0))&amp;""</f>
        <v>—</v>
      </c>
      <c r="E400" s="19" t="str">
        <f>INDEX(메뉴구조!$E$5:$E$300,MATCH($A400,메뉴구조!$A$5:$A$300,0))&amp;""</f>
        <v>—</v>
      </c>
      <c r="F400" s="9" t="str">
        <f>INDEX(메뉴구조!$G$5:$G$300,MATCH($A400,메뉴구조!$A$5:$A$300,0))&amp;""</f>
        <v>내 주문 / 계좌변경</v>
      </c>
      <c r="G400" s="18">
        <v>3</v>
      </c>
      <c r="H400" s="28" t="s">
        <v>1439</v>
      </c>
      <c r="I400" s="28" t="s">
        <v>1440</v>
      </c>
      <c r="J400" s="28"/>
      <c r="K400" s="18" t="s">
        <v>15</v>
      </c>
      <c r="L400" s="9" t="s">
        <v>1296</v>
      </c>
      <c r="M400" s="9"/>
    </row>
    <row r="401" spans="1:13" ht="50" hidden="1">
      <c r="A401" s="18" t="s">
        <v>341</v>
      </c>
      <c r="B401" s="19" t="str">
        <f>INDEX(메뉴구조!$B$5:$B$300,MATCH($A401,메뉴구조!$A$5:$A$300,0))&amp;""</f>
        <v>내 주문</v>
      </c>
      <c r="C401" s="19" t="str">
        <f>INDEX(메뉴구조!$C$5:$C$300,MATCH($A401,메뉴구조!$A$5:$A$300,0))&amp;""</f>
        <v>계좌변경</v>
      </c>
      <c r="D401" s="19" t="str">
        <f>INDEX(메뉴구조!$D$5:$D$300,MATCH($A401,메뉴구조!$A$5:$A$300,0))&amp;""</f>
        <v>—</v>
      </c>
      <c r="E401" s="19" t="str">
        <f>INDEX(메뉴구조!$E$5:$E$300,MATCH($A401,메뉴구조!$A$5:$A$300,0))&amp;""</f>
        <v>—</v>
      </c>
      <c r="F401" s="9" t="str">
        <f>INDEX(메뉴구조!$G$5:$G$300,MATCH($A401,메뉴구조!$A$5:$A$300,0))&amp;""</f>
        <v>내 주문 / 계좌변경</v>
      </c>
      <c r="G401" s="18">
        <v>4</v>
      </c>
      <c r="H401" s="28" t="s">
        <v>1441</v>
      </c>
      <c r="I401" s="28" t="s">
        <v>1442</v>
      </c>
      <c r="J401" s="28" t="s">
        <v>1443</v>
      </c>
      <c r="K401" s="18" t="s">
        <v>15</v>
      </c>
      <c r="L401" s="9" t="s">
        <v>1296</v>
      </c>
      <c r="M401" s="9"/>
    </row>
    <row r="402" spans="1:13" ht="25" hidden="1">
      <c r="A402" s="18" t="s">
        <v>341</v>
      </c>
      <c r="B402" s="19" t="str">
        <f>INDEX(메뉴구조!$B$5:$B$300,MATCH($A402,메뉴구조!$A$5:$A$300,0))&amp;""</f>
        <v>내 주문</v>
      </c>
      <c r="C402" s="19" t="str">
        <f>INDEX(메뉴구조!$C$5:$C$300,MATCH($A402,메뉴구조!$A$5:$A$300,0))&amp;""</f>
        <v>계좌변경</v>
      </c>
      <c r="D402" s="19" t="str">
        <f>INDEX(메뉴구조!$D$5:$D$300,MATCH($A402,메뉴구조!$A$5:$A$300,0))&amp;""</f>
        <v>—</v>
      </c>
      <c r="E402" s="19" t="str">
        <f>INDEX(메뉴구조!$E$5:$E$300,MATCH($A402,메뉴구조!$A$5:$A$300,0))&amp;""</f>
        <v>—</v>
      </c>
      <c r="F402" s="9" t="str">
        <f>INDEX(메뉴구조!$G$5:$G$300,MATCH($A402,메뉴구조!$A$5:$A$300,0))&amp;""</f>
        <v>내 주문 / 계좌변경</v>
      </c>
      <c r="G402" s="18">
        <v>5</v>
      </c>
      <c r="H402" s="28" t="s">
        <v>1444</v>
      </c>
      <c r="I402" s="28" t="s">
        <v>1445</v>
      </c>
      <c r="J402" s="28"/>
      <c r="K402" s="18" t="s">
        <v>15</v>
      </c>
      <c r="L402" s="9" t="s">
        <v>1296</v>
      </c>
      <c r="M402" s="9"/>
    </row>
    <row r="403" spans="1:13" ht="25">
      <c r="A403" s="18" t="s">
        <v>345</v>
      </c>
      <c r="B403" s="19" t="str">
        <f>INDEX(메뉴구조!$B$5:$B$300,MATCH($A403,메뉴구조!$A$5:$A$300,0))&amp;""</f>
        <v>MY</v>
      </c>
      <c r="C403" s="19" t="str">
        <f>INDEX(메뉴구조!$C$5:$C$300,MATCH($A403,메뉴구조!$A$5:$A$300,0))&amp;""</f>
        <v>MY 메인</v>
      </c>
      <c r="D403" s="19" t="str">
        <f>INDEX(메뉴구조!$D$5:$D$300,MATCH($A403,메뉴구조!$A$5:$A$300,0))&amp;""</f>
        <v>—</v>
      </c>
      <c r="E403" s="19" t="str">
        <f>INDEX(메뉴구조!$E$5:$E$300,MATCH($A403,메뉴구조!$A$5:$A$300,0))&amp;""</f>
        <v>—</v>
      </c>
      <c r="F403" s="9" t="str">
        <f>INDEX(메뉴구조!$G$5:$G$300,MATCH($A403,메뉴구조!$A$5:$A$300,0))&amp;""</f>
        <v>MY / MY 메인</v>
      </c>
      <c r="G403" s="18">
        <v>1</v>
      </c>
      <c r="H403" s="9" t="s">
        <v>1446</v>
      </c>
      <c r="I403" s="9" t="s">
        <v>1447</v>
      </c>
      <c r="J403" s="9"/>
      <c r="K403" s="18" t="s">
        <v>17</v>
      </c>
      <c r="L403" s="9"/>
      <c r="M403" s="9"/>
    </row>
    <row r="404" spans="1:13" ht="195.5" customHeight="1">
      <c r="A404" s="18" t="s">
        <v>345</v>
      </c>
      <c r="B404" s="19" t="str">
        <f>INDEX(메뉴구조!$B$5:$B$300,MATCH($A404,메뉴구조!$A$5:$A$300,0))&amp;""</f>
        <v>MY</v>
      </c>
      <c r="C404" s="19" t="str">
        <f>INDEX(메뉴구조!$C$5:$C$300,MATCH($A404,메뉴구조!$A$5:$A$300,0))&amp;""</f>
        <v>MY 메인</v>
      </c>
      <c r="D404" s="19" t="str">
        <f>INDEX(메뉴구조!$D$5:$D$300,MATCH($A404,메뉴구조!$A$5:$A$300,0))&amp;""</f>
        <v>—</v>
      </c>
      <c r="E404" s="19" t="str">
        <f>INDEX(메뉴구조!$E$5:$E$300,MATCH($A404,메뉴구조!$A$5:$A$300,0))&amp;""</f>
        <v>—</v>
      </c>
      <c r="F404" s="9" t="str">
        <f>INDEX(메뉴구조!$G$5:$G$300,MATCH($A404,메뉴구조!$A$5:$A$300,0))&amp;""</f>
        <v>MY / MY 메인</v>
      </c>
      <c r="G404" s="18">
        <v>2</v>
      </c>
      <c r="H404" s="31" t="s">
        <v>1448</v>
      </c>
      <c r="I404" s="31" t="s">
        <v>1449</v>
      </c>
      <c r="J404" s="9"/>
      <c r="K404" s="20" t="s">
        <v>9</v>
      </c>
      <c r="L404" s="9" t="s">
        <v>1450</v>
      </c>
      <c r="M404" s="9" t="s">
        <v>1451</v>
      </c>
    </row>
    <row r="405" spans="1:13" ht="50">
      <c r="A405" s="18" t="s">
        <v>345</v>
      </c>
      <c r="B405" s="19" t="str">
        <f>INDEX(메뉴구조!$B$5:$B$300,MATCH($A405,메뉴구조!$A$5:$A$300,0))&amp;""</f>
        <v>MY</v>
      </c>
      <c r="C405" s="19" t="str">
        <f>INDEX(메뉴구조!$C$5:$C$300,MATCH($A405,메뉴구조!$A$5:$A$300,0))&amp;""</f>
        <v>MY 메인</v>
      </c>
      <c r="D405" s="19" t="str">
        <f>INDEX(메뉴구조!$D$5:$D$300,MATCH($A405,메뉴구조!$A$5:$A$300,0))&amp;""</f>
        <v>—</v>
      </c>
      <c r="E405" s="19" t="str">
        <f>INDEX(메뉴구조!$E$5:$E$300,MATCH($A405,메뉴구조!$A$5:$A$300,0))&amp;""</f>
        <v>—</v>
      </c>
      <c r="F405" s="9" t="str">
        <f>INDEX(메뉴구조!$G$5:$G$300,MATCH($A405,메뉴구조!$A$5:$A$300,0))&amp;""</f>
        <v>MY / MY 메인</v>
      </c>
      <c r="G405" s="18">
        <v>3</v>
      </c>
      <c r="H405" s="31" t="s">
        <v>1452</v>
      </c>
      <c r="I405" s="31" t="s">
        <v>1453</v>
      </c>
      <c r="J405" s="9" t="s">
        <v>1454</v>
      </c>
      <c r="K405" s="20" t="s">
        <v>9</v>
      </c>
      <c r="L405" s="9" t="s">
        <v>1455</v>
      </c>
      <c r="M405" s="9" t="s">
        <v>1456</v>
      </c>
    </row>
    <row r="406" spans="1:13" ht="25">
      <c r="A406" s="18" t="s">
        <v>345</v>
      </c>
      <c r="B406" s="19" t="str">
        <f>INDEX(메뉴구조!$B$5:$B$300,MATCH($A406,메뉴구조!$A$5:$A$300,0))&amp;""</f>
        <v>MY</v>
      </c>
      <c r="C406" s="19" t="str">
        <f>INDEX(메뉴구조!$C$5:$C$300,MATCH($A406,메뉴구조!$A$5:$A$300,0))&amp;""</f>
        <v>MY 메인</v>
      </c>
      <c r="D406" s="19" t="str">
        <f>INDEX(메뉴구조!$D$5:$D$300,MATCH($A406,메뉴구조!$A$5:$A$300,0))&amp;""</f>
        <v>—</v>
      </c>
      <c r="E406" s="19" t="str">
        <f>INDEX(메뉴구조!$E$5:$E$300,MATCH($A406,메뉴구조!$A$5:$A$300,0))&amp;""</f>
        <v>—</v>
      </c>
      <c r="F406" s="9" t="str">
        <f>INDEX(메뉴구조!$G$5:$G$300,MATCH($A406,메뉴구조!$A$5:$A$300,0))&amp;""</f>
        <v>MY / MY 메인</v>
      </c>
      <c r="G406" s="18">
        <v>4</v>
      </c>
      <c r="H406" s="9" t="s">
        <v>1457</v>
      </c>
      <c r="I406" s="9" t="s">
        <v>1458</v>
      </c>
      <c r="J406" s="9"/>
      <c r="K406" s="18" t="s">
        <v>17</v>
      </c>
      <c r="L406" s="9"/>
      <c r="M406" s="9"/>
    </row>
    <row r="407" spans="1:13" ht="37.5">
      <c r="A407" s="18" t="s">
        <v>345</v>
      </c>
      <c r="B407" s="19" t="str">
        <f>INDEX(메뉴구조!$B$5:$B$300,MATCH($A407,메뉴구조!$A$5:$A$300,0))&amp;""</f>
        <v>MY</v>
      </c>
      <c r="C407" s="19" t="str">
        <f>INDEX(메뉴구조!$C$5:$C$300,MATCH($A407,메뉴구조!$A$5:$A$300,0))&amp;""</f>
        <v>MY 메인</v>
      </c>
      <c r="D407" s="19" t="str">
        <f>INDEX(메뉴구조!$D$5:$D$300,MATCH($A407,메뉴구조!$A$5:$A$300,0))&amp;""</f>
        <v>—</v>
      </c>
      <c r="E407" s="19" t="str">
        <f>INDEX(메뉴구조!$E$5:$E$300,MATCH($A407,메뉴구조!$A$5:$A$300,0))&amp;""</f>
        <v>—</v>
      </c>
      <c r="F407" s="9" t="str">
        <f>INDEX(메뉴구조!$G$5:$G$300,MATCH($A407,메뉴구조!$A$5:$A$300,0))&amp;""</f>
        <v>MY / MY 메인</v>
      </c>
      <c r="G407" s="18">
        <v>5</v>
      </c>
      <c r="H407" s="9" t="s">
        <v>1459</v>
      </c>
      <c r="I407" s="9" t="s">
        <v>1460</v>
      </c>
      <c r="J407" s="9"/>
      <c r="K407" s="18" t="s">
        <v>17</v>
      </c>
      <c r="L407" s="9"/>
      <c r="M407" s="9"/>
    </row>
    <row r="408" spans="1:13" ht="87.5">
      <c r="A408" s="18" t="s">
        <v>345</v>
      </c>
      <c r="B408" s="19" t="str">
        <f>INDEX(메뉴구조!$B$5:$B$300,MATCH($A408,메뉴구조!$A$5:$A$300,0))&amp;""</f>
        <v>MY</v>
      </c>
      <c r="C408" s="19" t="str">
        <f>INDEX(메뉴구조!$C$5:$C$300,MATCH($A408,메뉴구조!$A$5:$A$300,0))&amp;""</f>
        <v>MY 메인</v>
      </c>
      <c r="D408" s="19" t="str">
        <f>INDEX(메뉴구조!$D$5:$D$300,MATCH($A408,메뉴구조!$A$5:$A$300,0))&amp;""</f>
        <v>—</v>
      </c>
      <c r="E408" s="19" t="str">
        <f>INDEX(메뉴구조!$E$5:$E$300,MATCH($A408,메뉴구조!$A$5:$A$300,0))&amp;""</f>
        <v>—</v>
      </c>
      <c r="F408" s="9" t="str">
        <f>INDEX(메뉴구조!$G$5:$G$300,MATCH($A408,메뉴구조!$A$5:$A$300,0))&amp;""</f>
        <v>MY / MY 메인</v>
      </c>
      <c r="G408" s="18">
        <v>6</v>
      </c>
      <c r="H408" s="32" t="s">
        <v>1461</v>
      </c>
      <c r="I408" s="32" t="s">
        <v>1462</v>
      </c>
      <c r="J408" s="32" t="s">
        <v>1463</v>
      </c>
      <c r="K408" s="23" t="s">
        <v>7</v>
      </c>
      <c r="L408" s="9" t="s">
        <v>1464</v>
      </c>
      <c r="M408" s="9"/>
    </row>
    <row r="409" spans="1:13" ht="37.5">
      <c r="A409" s="18" t="s">
        <v>345</v>
      </c>
      <c r="B409" s="19" t="str">
        <f>INDEX(메뉴구조!$B$5:$B$300,MATCH($A409,메뉴구조!$A$5:$A$300,0))&amp;""</f>
        <v>MY</v>
      </c>
      <c r="C409" s="19" t="str">
        <f>INDEX(메뉴구조!$C$5:$C$300,MATCH($A409,메뉴구조!$A$5:$A$300,0))&amp;""</f>
        <v>MY 메인</v>
      </c>
      <c r="D409" s="19" t="str">
        <f>INDEX(메뉴구조!$D$5:$D$300,MATCH($A409,메뉴구조!$A$5:$A$300,0))&amp;""</f>
        <v>—</v>
      </c>
      <c r="E409" s="19" t="str">
        <f>INDEX(메뉴구조!$E$5:$E$300,MATCH($A409,메뉴구조!$A$5:$A$300,0))&amp;""</f>
        <v>—</v>
      </c>
      <c r="F409" s="9" t="str">
        <f>INDEX(메뉴구조!$G$5:$G$300,MATCH($A409,메뉴구조!$A$5:$A$300,0))&amp;""</f>
        <v>MY / MY 메인</v>
      </c>
      <c r="G409" s="18">
        <v>7</v>
      </c>
      <c r="H409" s="32" t="s">
        <v>1465</v>
      </c>
      <c r="I409" s="32" t="s">
        <v>1466</v>
      </c>
      <c r="J409" s="32"/>
      <c r="K409" s="23" t="s">
        <v>7</v>
      </c>
      <c r="L409" s="9" t="s">
        <v>1464</v>
      </c>
      <c r="M409" s="9"/>
    </row>
    <row r="410" spans="1:13" ht="37.5">
      <c r="A410" s="18" t="s">
        <v>345</v>
      </c>
      <c r="B410" s="19" t="str">
        <f>INDEX(메뉴구조!$B$5:$B$300,MATCH($A410,메뉴구조!$A$5:$A$300,0))&amp;""</f>
        <v>MY</v>
      </c>
      <c r="C410" s="19" t="str">
        <f>INDEX(메뉴구조!$C$5:$C$300,MATCH($A410,메뉴구조!$A$5:$A$300,0))&amp;""</f>
        <v>MY 메인</v>
      </c>
      <c r="D410" s="19" t="str">
        <f>INDEX(메뉴구조!$D$5:$D$300,MATCH($A410,메뉴구조!$A$5:$A$300,0))&amp;""</f>
        <v>—</v>
      </c>
      <c r="E410" s="19" t="str">
        <f>INDEX(메뉴구조!$E$5:$E$300,MATCH($A410,메뉴구조!$A$5:$A$300,0))&amp;""</f>
        <v>—</v>
      </c>
      <c r="F410" s="9" t="str">
        <f>INDEX(메뉴구조!$G$5:$G$300,MATCH($A410,메뉴구조!$A$5:$A$300,0))&amp;""</f>
        <v>MY / MY 메인</v>
      </c>
      <c r="G410" s="18">
        <v>8</v>
      </c>
      <c r="H410" s="32" t="s">
        <v>1467</v>
      </c>
      <c r="I410" s="32" t="s">
        <v>1468</v>
      </c>
      <c r="J410" s="32"/>
      <c r="K410" s="23" t="s">
        <v>7</v>
      </c>
      <c r="L410" s="9" t="s">
        <v>1464</v>
      </c>
      <c r="M410" s="9"/>
    </row>
    <row r="411" spans="1:13" ht="62.5">
      <c r="A411" s="18" t="s">
        <v>345</v>
      </c>
      <c r="B411" s="19" t="str">
        <f>INDEX(메뉴구조!$B$5:$B$300,MATCH($A411,메뉴구조!$A$5:$A$300,0))&amp;""</f>
        <v>MY</v>
      </c>
      <c r="C411" s="19" t="str">
        <f>INDEX(메뉴구조!$C$5:$C$300,MATCH($A411,메뉴구조!$A$5:$A$300,0))&amp;""</f>
        <v>MY 메인</v>
      </c>
      <c r="D411" s="19" t="str">
        <f>INDEX(메뉴구조!$D$5:$D$300,MATCH($A411,메뉴구조!$A$5:$A$300,0))&amp;""</f>
        <v>—</v>
      </c>
      <c r="E411" s="19" t="str">
        <f>INDEX(메뉴구조!$E$5:$E$300,MATCH($A411,메뉴구조!$A$5:$A$300,0))&amp;""</f>
        <v>—</v>
      </c>
      <c r="F411" s="9" t="str">
        <f>INDEX(메뉴구조!$G$5:$G$300,MATCH($A411,메뉴구조!$A$5:$A$300,0))&amp;""</f>
        <v>MY / MY 메인</v>
      </c>
      <c r="G411" s="18">
        <v>9</v>
      </c>
      <c r="H411" s="32" t="s">
        <v>1469</v>
      </c>
      <c r="I411" s="32" t="s">
        <v>1470</v>
      </c>
      <c r="J411" s="32"/>
      <c r="K411" s="23" t="s">
        <v>7</v>
      </c>
      <c r="L411" s="9" t="s">
        <v>1471</v>
      </c>
      <c r="M411" s="9"/>
    </row>
    <row r="412" spans="1:13" ht="62.5">
      <c r="A412" s="18" t="s">
        <v>350</v>
      </c>
      <c r="B412" s="19" t="str">
        <f>INDEX(메뉴구조!$B$5:$B$300,MATCH($A412,메뉴구조!$A$5:$A$300,0))&amp;""</f>
        <v>MY</v>
      </c>
      <c r="C412" s="19" t="str">
        <f>INDEX(메뉴구조!$C$5:$C$300,MATCH($A412,메뉴구조!$A$5:$A$300,0))&amp;""</f>
        <v>내 자산</v>
      </c>
      <c r="D412" s="19" t="str">
        <f>INDEX(메뉴구조!$D$5:$D$300,MATCH($A412,메뉴구조!$A$5:$A$300,0))&amp;""</f>
        <v>보유</v>
      </c>
      <c r="E412" s="19" t="str">
        <f>INDEX(메뉴구조!$E$5:$E$300,MATCH($A412,메뉴구조!$A$5:$A$300,0))&amp;""</f>
        <v>—</v>
      </c>
      <c r="F412" s="9" t="str">
        <f>INDEX(메뉴구조!$G$5:$G$300,MATCH($A412,메뉴구조!$A$5:$A$300,0))&amp;""</f>
        <v>MY / 내 자산 / 보유</v>
      </c>
      <c r="G412" s="18">
        <v>1</v>
      </c>
      <c r="H412" s="9" t="s">
        <v>1472</v>
      </c>
      <c r="I412" s="9" t="s">
        <v>1473</v>
      </c>
      <c r="J412" s="9"/>
      <c r="K412" s="30" t="s">
        <v>11</v>
      </c>
      <c r="L412" s="9" t="s">
        <v>1474</v>
      </c>
      <c r="M412" s="9"/>
    </row>
    <row r="413" spans="1:13" ht="87.5">
      <c r="A413" s="18" t="s">
        <v>350</v>
      </c>
      <c r="B413" s="19" t="str">
        <f>INDEX(메뉴구조!$B$5:$B$300,MATCH($A413,메뉴구조!$A$5:$A$300,0))&amp;""</f>
        <v>MY</v>
      </c>
      <c r="C413" s="19" t="str">
        <f>INDEX(메뉴구조!$C$5:$C$300,MATCH($A413,메뉴구조!$A$5:$A$300,0))&amp;""</f>
        <v>내 자산</v>
      </c>
      <c r="D413" s="19" t="str">
        <f>INDEX(메뉴구조!$D$5:$D$300,MATCH($A413,메뉴구조!$A$5:$A$300,0))&amp;""</f>
        <v>보유</v>
      </c>
      <c r="E413" s="19" t="str">
        <f>INDEX(메뉴구조!$E$5:$E$300,MATCH($A413,메뉴구조!$A$5:$A$300,0))&amp;""</f>
        <v>—</v>
      </c>
      <c r="F413" s="9" t="str">
        <f>INDEX(메뉴구조!$G$5:$G$300,MATCH($A413,메뉴구조!$A$5:$A$300,0))&amp;""</f>
        <v>MY / 내 자산 / 보유</v>
      </c>
      <c r="G413" s="18">
        <v>2</v>
      </c>
      <c r="H413" s="31" t="s">
        <v>1475</v>
      </c>
      <c r="I413" s="31" t="s">
        <v>1476</v>
      </c>
      <c r="J413" s="9"/>
      <c r="K413" s="20" t="s">
        <v>9</v>
      </c>
      <c r="L413" s="9" t="s">
        <v>1477</v>
      </c>
      <c r="M413" s="9" t="s">
        <v>1478</v>
      </c>
    </row>
    <row r="414" spans="1:13" ht="37.5">
      <c r="A414" s="18" t="s">
        <v>350</v>
      </c>
      <c r="B414" s="19" t="str">
        <f>INDEX(메뉴구조!$B$5:$B$300,MATCH($A414,메뉴구조!$A$5:$A$300,0))&amp;""</f>
        <v>MY</v>
      </c>
      <c r="C414" s="19" t="str">
        <f>INDEX(메뉴구조!$C$5:$C$300,MATCH($A414,메뉴구조!$A$5:$A$300,0))&amp;""</f>
        <v>내 자산</v>
      </c>
      <c r="D414" s="19" t="str">
        <f>INDEX(메뉴구조!$D$5:$D$300,MATCH($A414,메뉴구조!$A$5:$A$300,0))&amp;""</f>
        <v>보유</v>
      </c>
      <c r="E414" s="19" t="str">
        <f>INDEX(메뉴구조!$E$5:$E$300,MATCH($A414,메뉴구조!$A$5:$A$300,0))&amp;""</f>
        <v>—</v>
      </c>
      <c r="F414" s="9" t="str">
        <f>INDEX(메뉴구조!$G$5:$G$300,MATCH($A414,메뉴구조!$A$5:$A$300,0))&amp;""</f>
        <v>MY / 내 자산 / 보유</v>
      </c>
      <c r="G414" s="18">
        <v>3</v>
      </c>
      <c r="H414" s="9" t="s">
        <v>1479</v>
      </c>
      <c r="I414" s="9" t="s">
        <v>1480</v>
      </c>
      <c r="J414" s="9" t="s">
        <v>1481</v>
      </c>
      <c r="K414" s="30" t="s">
        <v>11</v>
      </c>
      <c r="L414" s="9" t="s">
        <v>1474</v>
      </c>
      <c r="M414" s="9"/>
    </row>
    <row r="415" spans="1:13" ht="37.5">
      <c r="A415" s="18" t="s">
        <v>350</v>
      </c>
      <c r="B415" s="19" t="str">
        <f>INDEX(메뉴구조!$B$5:$B$300,MATCH($A415,메뉴구조!$A$5:$A$300,0))&amp;""</f>
        <v>MY</v>
      </c>
      <c r="C415" s="19" t="str">
        <f>INDEX(메뉴구조!$C$5:$C$300,MATCH($A415,메뉴구조!$A$5:$A$300,0))&amp;""</f>
        <v>내 자산</v>
      </c>
      <c r="D415" s="19" t="str">
        <f>INDEX(메뉴구조!$D$5:$D$300,MATCH($A415,메뉴구조!$A$5:$A$300,0))&amp;""</f>
        <v>보유</v>
      </c>
      <c r="E415" s="19" t="str">
        <f>INDEX(메뉴구조!$E$5:$E$300,MATCH($A415,메뉴구조!$A$5:$A$300,0))&amp;""</f>
        <v>—</v>
      </c>
      <c r="F415" s="9" t="str">
        <f>INDEX(메뉴구조!$G$5:$G$300,MATCH($A415,메뉴구조!$A$5:$A$300,0))&amp;""</f>
        <v>MY / 내 자산 / 보유</v>
      </c>
      <c r="G415" s="18">
        <v>4</v>
      </c>
      <c r="H415" s="9" t="s">
        <v>1482</v>
      </c>
      <c r="I415" s="9" t="s">
        <v>1483</v>
      </c>
      <c r="J415" s="9"/>
      <c r="K415" s="30" t="s">
        <v>11</v>
      </c>
      <c r="L415" s="9" t="s">
        <v>1474</v>
      </c>
      <c r="M415" s="9"/>
    </row>
    <row r="416" spans="1:13" ht="37.5">
      <c r="A416" s="18" t="s">
        <v>350</v>
      </c>
      <c r="B416" s="19" t="str">
        <f>INDEX(메뉴구조!$B$5:$B$300,MATCH($A416,메뉴구조!$A$5:$A$300,0))&amp;""</f>
        <v>MY</v>
      </c>
      <c r="C416" s="19" t="str">
        <f>INDEX(메뉴구조!$C$5:$C$300,MATCH($A416,메뉴구조!$A$5:$A$300,0))&amp;""</f>
        <v>내 자산</v>
      </c>
      <c r="D416" s="19" t="str">
        <f>INDEX(메뉴구조!$D$5:$D$300,MATCH($A416,메뉴구조!$A$5:$A$300,0))&amp;""</f>
        <v>보유</v>
      </c>
      <c r="E416" s="19" t="str">
        <f>INDEX(메뉴구조!$E$5:$E$300,MATCH($A416,메뉴구조!$A$5:$A$300,0))&amp;""</f>
        <v>—</v>
      </c>
      <c r="F416" s="9" t="str">
        <f>INDEX(메뉴구조!$G$5:$G$300,MATCH($A416,메뉴구조!$A$5:$A$300,0))&amp;""</f>
        <v>MY / 내 자산 / 보유</v>
      </c>
      <c r="G416" s="18">
        <v>5</v>
      </c>
      <c r="H416" s="9" t="s">
        <v>1484</v>
      </c>
      <c r="I416" s="9" t="s">
        <v>1485</v>
      </c>
      <c r="J416" s="9"/>
      <c r="K416" s="30" t="s">
        <v>11</v>
      </c>
      <c r="L416" s="9" t="s">
        <v>1474</v>
      </c>
      <c r="M416" s="9"/>
    </row>
    <row r="417" spans="1:13" ht="112.5">
      <c r="A417" s="18" t="s">
        <v>350</v>
      </c>
      <c r="B417" s="19" t="str">
        <f>INDEX(메뉴구조!$B$5:$B$300,MATCH($A417,메뉴구조!$A$5:$A$300,0))&amp;""</f>
        <v>MY</v>
      </c>
      <c r="C417" s="19" t="str">
        <f>INDEX(메뉴구조!$C$5:$C$300,MATCH($A417,메뉴구조!$A$5:$A$300,0))&amp;""</f>
        <v>내 자산</v>
      </c>
      <c r="D417" s="19" t="str">
        <f>INDEX(메뉴구조!$D$5:$D$300,MATCH($A417,메뉴구조!$A$5:$A$300,0))&amp;""</f>
        <v>보유</v>
      </c>
      <c r="E417" s="19" t="str">
        <f>INDEX(메뉴구조!$E$5:$E$300,MATCH($A417,메뉴구조!$A$5:$A$300,0))&amp;""</f>
        <v>—</v>
      </c>
      <c r="F417" s="9" t="str">
        <f>INDEX(메뉴구조!$G$5:$G$300,MATCH($A417,메뉴구조!$A$5:$A$300,0))&amp;""</f>
        <v>MY / 내 자산 / 보유</v>
      </c>
      <c r="G417" s="18">
        <v>6</v>
      </c>
      <c r="H417" s="31" t="s">
        <v>1486</v>
      </c>
      <c r="I417" s="31" t="s">
        <v>1487</v>
      </c>
      <c r="J417" s="9"/>
      <c r="K417" s="20" t="s">
        <v>9</v>
      </c>
      <c r="L417" s="9" t="s">
        <v>1488</v>
      </c>
      <c r="M417" s="9" t="s">
        <v>1489</v>
      </c>
    </row>
    <row r="418" spans="1:13" ht="62.5">
      <c r="A418" s="18" t="s">
        <v>350</v>
      </c>
      <c r="B418" s="19" t="str">
        <f>INDEX(메뉴구조!$B$5:$B$300,MATCH($A418,메뉴구조!$A$5:$A$300,0))&amp;""</f>
        <v>MY</v>
      </c>
      <c r="C418" s="19" t="str">
        <f>INDEX(메뉴구조!$C$5:$C$300,MATCH($A418,메뉴구조!$A$5:$A$300,0))&amp;""</f>
        <v>내 자산</v>
      </c>
      <c r="D418" s="19" t="str">
        <f>INDEX(메뉴구조!$D$5:$D$300,MATCH($A418,메뉴구조!$A$5:$A$300,0))&amp;""</f>
        <v>보유</v>
      </c>
      <c r="E418" s="19" t="str">
        <f>INDEX(메뉴구조!$E$5:$E$300,MATCH($A418,메뉴구조!$A$5:$A$300,0))&amp;""</f>
        <v>—</v>
      </c>
      <c r="F418" s="9" t="str">
        <f>INDEX(메뉴구조!$G$5:$G$300,MATCH($A418,메뉴구조!$A$5:$A$300,0))&amp;""</f>
        <v>MY / 내 자산 / 보유</v>
      </c>
      <c r="G418" s="18">
        <v>7</v>
      </c>
      <c r="H418" s="31" t="s">
        <v>1490</v>
      </c>
      <c r="I418" s="31" t="s">
        <v>1491</v>
      </c>
      <c r="J418" s="9"/>
      <c r="K418" s="20" t="s">
        <v>9</v>
      </c>
      <c r="L418" s="9" t="s">
        <v>1492</v>
      </c>
      <c r="M418" s="9" t="s">
        <v>1493</v>
      </c>
    </row>
    <row r="419" spans="1:13" ht="62.5">
      <c r="A419" s="18" t="s">
        <v>350</v>
      </c>
      <c r="B419" s="19" t="str">
        <f>INDEX(메뉴구조!$B$5:$B$300,MATCH($A419,메뉴구조!$A$5:$A$300,0))&amp;""</f>
        <v>MY</v>
      </c>
      <c r="C419" s="19" t="str">
        <f>INDEX(메뉴구조!$C$5:$C$300,MATCH($A419,메뉴구조!$A$5:$A$300,0))&amp;""</f>
        <v>내 자산</v>
      </c>
      <c r="D419" s="19" t="str">
        <f>INDEX(메뉴구조!$D$5:$D$300,MATCH($A419,메뉴구조!$A$5:$A$300,0))&amp;""</f>
        <v>보유</v>
      </c>
      <c r="E419" s="19" t="str">
        <f>INDEX(메뉴구조!$E$5:$E$300,MATCH($A419,메뉴구조!$A$5:$A$300,0))&amp;""</f>
        <v>—</v>
      </c>
      <c r="F419" s="9" t="str">
        <f>INDEX(메뉴구조!$G$5:$G$300,MATCH($A419,메뉴구조!$A$5:$A$300,0))&amp;""</f>
        <v>MY / 내 자산 / 보유</v>
      </c>
      <c r="G419" s="18">
        <v>8</v>
      </c>
      <c r="H419" s="9" t="s">
        <v>1494</v>
      </c>
      <c r="I419" s="9" t="s">
        <v>1495</v>
      </c>
      <c r="J419" s="9"/>
      <c r="K419" s="30" t="s">
        <v>11</v>
      </c>
      <c r="L419" s="9" t="s">
        <v>1474</v>
      </c>
      <c r="M419" s="9"/>
    </row>
    <row r="420" spans="1:13" ht="87.5">
      <c r="A420" s="18" t="s">
        <v>350</v>
      </c>
      <c r="B420" s="19" t="str">
        <f>INDEX(메뉴구조!$B$5:$B$300,MATCH($A420,메뉴구조!$A$5:$A$300,0))&amp;""</f>
        <v>MY</v>
      </c>
      <c r="C420" s="19" t="str">
        <f>INDEX(메뉴구조!$C$5:$C$300,MATCH($A420,메뉴구조!$A$5:$A$300,0))&amp;""</f>
        <v>내 자산</v>
      </c>
      <c r="D420" s="19" t="str">
        <f>INDEX(메뉴구조!$D$5:$D$300,MATCH($A420,메뉴구조!$A$5:$A$300,0))&amp;""</f>
        <v>보유</v>
      </c>
      <c r="E420" s="19" t="str">
        <f>INDEX(메뉴구조!$E$5:$E$300,MATCH($A420,메뉴구조!$A$5:$A$300,0))&amp;""</f>
        <v>—</v>
      </c>
      <c r="F420" s="9" t="str">
        <f>INDEX(메뉴구조!$G$5:$G$300,MATCH($A420,메뉴구조!$A$5:$A$300,0))&amp;""</f>
        <v>MY / 내 자산 / 보유</v>
      </c>
      <c r="G420" s="18">
        <v>9</v>
      </c>
      <c r="H420" s="31" t="s">
        <v>1281</v>
      </c>
      <c r="I420" s="31" t="s">
        <v>1496</v>
      </c>
      <c r="J420" s="9" t="s">
        <v>1497</v>
      </c>
      <c r="K420" s="20" t="s">
        <v>9</v>
      </c>
      <c r="L420" s="9" t="s">
        <v>1267</v>
      </c>
      <c r="M420" s="9" t="s">
        <v>1498</v>
      </c>
    </row>
    <row r="421" spans="1:13" ht="75">
      <c r="A421" s="18" t="s">
        <v>350</v>
      </c>
      <c r="B421" s="19" t="str">
        <f>INDEX(메뉴구조!$B$5:$B$300,MATCH($A421,메뉴구조!$A$5:$A$300,0))&amp;""</f>
        <v>MY</v>
      </c>
      <c r="C421" s="19" t="str">
        <f>INDEX(메뉴구조!$C$5:$C$300,MATCH($A421,메뉴구조!$A$5:$A$300,0))&amp;""</f>
        <v>내 자산</v>
      </c>
      <c r="D421" s="19" t="str">
        <f>INDEX(메뉴구조!$D$5:$D$300,MATCH($A421,메뉴구조!$A$5:$A$300,0))&amp;""</f>
        <v>보유</v>
      </c>
      <c r="E421" s="19" t="str">
        <f>INDEX(메뉴구조!$E$5:$E$300,MATCH($A421,메뉴구조!$A$5:$A$300,0))&amp;""</f>
        <v>—</v>
      </c>
      <c r="F421" s="9" t="str">
        <f>INDEX(메뉴구조!$G$5:$G$300,MATCH($A421,메뉴구조!$A$5:$A$300,0))&amp;""</f>
        <v>MY / 내 자산 / 보유</v>
      </c>
      <c r="G421" s="18">
        <v>10</v>
      </c>
      <c r="H421" s="28" t="s">
        <v>1499</v>
      </c>
      <c r="I421" s="28" t="s">
        <v>1500</v>
      </c>
      <c r="J421" s="28"/>
      <c r="K421" s="18" t="s">
        <v>15</v>
      </c>
      <c r="L421" s="9" t="s">
        <v>1501</v>
      </c>
      <c r="M421" s="9"/>
    </row>
    <row r="422" spans="1:13" ht="112.5">
      <c r="A422" s="18" t="s">
        <v>350</v>
      </c>
      <c r="B422" s="19" t="str">
        <f>INDEX(메뉴구조!$B$5:$B$300,MATCH($A422,메뉴구조!$A$5:$A$300,0))&amp;""</f>
        <v>MY</v>
      </c>
      <c r="C422" s="19" t="str">
        <f>INDEX(메뉴구조!$C$5:$C$300,MATCH($A422,메뉴구조!$A$5:$A$300,0))&amp;""</f>
        <v>내 자산</v>
      </c>
      <c r="D422" s="19" t="str">
        <f>INDEX(메뉴구조!$D$5:$D$300,MATCH($A422,메뉴구조!$A$5:$A$300,0))&amp;""</f>
        <v>보유</v>
      </c>
      <c r="E422" s="19" t="str">
        <f>INDEX(메뉴구조!$E$5:$E$300,MATCH($A422,메뉴구조!$A$5:$A$300,0))&amp;""</f>
        <v>—</v>
      </c>
      <c r="F422" s="9" t="str">
        <f>INDEX(메뉴구조!$G$5:$G$300,MATCH($A422,메뉴구조!$A$5:$A$300,0))&amp;""</f>
        <v>MY / 내 자산 / 보유</v>
      </c>
      <c r="G422" s="18">
        <v>11</v>
      </c>
      <c r="H422" s="9" t="s">
        <v>1502</v>
      </c>
      <c r="I422" s="9" t="s">
        <v>1503</v>
      </c>
      <c r="J422" s="9" t="s">
        <v>1504</v>
      </c>
      <c r="K422" s="30" t="s">
        <v>11</v>
      </c>
      <c r="L422" s="9" t="s">
        <v>1474</v>
      </c>
      <c r="M422" s="9"/>
    </row>
    <row r="423" spans="1:13" ht="75">
      <c r="A423" s="18" t="s">
        <v>350</v>
      </c>
      <c r="B423" s="19" t="str">
        <f>INDEX(메뉴구조!$B$5:$B$300,MATCH($A423,메뉴구조!$A$5:$A$300,0))&amp;""</f>
        <v>MY</v>
      </c>
      <c r="C423" s="19" t="str">
        <f>INDEX(메뉴구조!$C$5:$C$300,MATCH($A423,메뉴구조!$A$5:$A$300,0))&amp;""</f>
        <v>내 자산</v>
      </c>
      <c r="D423" s="19" t="str">
        <f>INDEX(메뉴구조!$D$5:$D$300,MATCH($A423,메뉴구조!$A$5:$A$300,0))&amp;""</f>
        <v>보유</v>
      </c>
      <c r="E423" s="19" t="str">
        <f>INDEX(메뉴구조!$E$5:$E$300,MATCH($A423,메뉴구조!$A$5:$A$300,0))&amp;""</f>
        <v>—</v>
      </c>
      <c r="F423" s="9" t="str">
        <f>INDEX(메뉴구조!$G$5:$G$300,MATCH($A423,메뉴구조!$A$5:$A$300,0))&amp;""</f>
        <v>MY / 내 자산 / 보유</v>
      </c>
      <c r="G423" s="18">
        <v>12</v>
      </c>
      <c r="H423" s="28" t="s">
        <v>1505</v>
      </c>
      <c r="I423" s="28" t="s">
        <v>1506</v>
      </c>
      <c r="J423" s="28"/>
      <c r="K423" s="18" t="s">
        <v>15</v>
      </c>
      <c r="L423" s="9" t="s">
        <v>1507</v>
      </c>
      <c r="M423" s="9"/>
    </row>
    <row r="424" spans="1:13" ht="62.5">
      <c r="A424" s="18" t="s">
        <v>350</v>
      </c>
      <c r="B424" s="19" t="str">
        <f>INDEX(메뉴구조!$B$5:$B$300,MATCH($A424,메뉴구조!$A$5:$A$300,0))&amp;""</f>
        <v>MY</v>
      </c>
      <c r="C424" s="19" t="str">
        <f>INDEX(메뉴구조!$C$5:$C$300,MATCH($A424,메뉴구조!$A$5:$A$300,0))&amp;""</f>
        <v>내 자산</v>
      </c>
      <c r="D424" s="19" t="str">
        <f>INDEX(메뉴구조!$D$5:$D$300,MATCH($A424,메뉴구조!$A$5:$A$300,0))&amp;""</f>
        <v>보유</v>
      </c>
      <c r="E424" s="19" t="str">
        <f>INDEX(메뉴구조!$E$5:$E$300,MATCH($A424,메뉴구조!$A$5:$A$300,0))&amp;""</f>
        <v>—</v>
      </c>
      <c r="F424" s="9" t="str">
        <f>INDEX(메뉴구조!$G$5:$G$300,MATCH($A424,메뉴구조!$A$5:$A$300,0))&amp;""</f>
        <v>MY / 내 자산 / 보유</v>
      </c>
      <c r="G424" s="18">
        <v>13</v>
      </c>
      <c r="H424" s="28" t="s">
        <v>1508</v>
      </c>
      <c r="I424" s="28" t="s">
        <v>1509</v>
      </c>
      <c r="J424" s="28" t="s">
        <v>1510</v>
      </c>
      <c r="K424" s="18" t="s">
        <v>15</v>
      </c>
      <c r="L424" s="9" t="s">
        <v>1507</v>
      </c>
      <c r="M424" s="9"/>
    </row>
    <row r="425" spans="1:13" ht="62.5">
      <c r="A425" s="18" t="s">
        <v>350</v>
      </c>
      <c r="B425" s="19" t="str">
        <f>INDEX(메뉴구조!$B$5:$B$300,MATCH($A425,메뉴구조!$A$5:$A$300,0))&amp;""</f>
        <v>MY</v>
      </c>
      <c r="C425" s="19" t="str">
        <f>INDEX(메뉴구조!$C$5:$C$300,MATCH($A425,메뉴구조!$A$5:$A$300,0))&amp;""</f>
        <v>내 자산</v>
      </c>
      <c r="D425" s="19" t="str">
        <f>INDEX(메뉴구조!$D$5:$D$300,MATCH($A425,메뉴구조!$A$5:$A$300,0))&amp;""</f>
        <v>보유</v>
      </c>
      <c r="E425" s="19" t="str">
        <f>INDEX(메뉴구조!$E$5:$E$300,MATCH($A425,메뉴구조!$A$5:$A$300,0))&amp;""</f>
        <v>—</v>
      </c>
      <c r="F425" s="9" t="str">
        <f>INDEX(메뉴구조!$G$5:$G$300,MATCH($A425,메뉴구조!$A$5:$A$300,0))&amp;""</f>
        <v>MY / 내 자산 / 보유</v>
      </c>
      <c r="G425" s="18">
        <v>14</v>
      </c>
      <c r="H425" s="28" t="s">
        <v>1511</v>
      </c>
      <c r="I425" s="28" t="s">
        <v>1512</v>
      </c>
      <c r="J425" s="28" t="s">
        <v>1513</v>
      </c>
      <c r="K425" s="18" t="s">
        <v>15</v>
      </c>
      <c r="L425" s="9" t="s">
        <v>1507</v>
      </c>
      <c r="M425" s="9"/>
    </row>
    <row r="426" spans="1:13" ht="112.5">
      <c r="A426" s="18" t="s">
        <v>350</v>
      </c>
      <c r="B426" s="19" t="str">
        <f>INDEX(메뉴구조!$B$5:$B$300,MATCH($A426,메뉴구조!$A$5:$A$300,0))&amp;""</f>
        <v>MY</v>
      </c>
      <c r="C426" s="19" t="str">
        <f>INDEX(메뉴구조!$C$5:$C$300,MATCH($A426,메뉴구조!$A$5:$A$300,0))&amp;""</f>
        <v>내 자산</v>
      </c>
      <c r="D426" s="19" t="str">
        <f>INDEX(메뉴구조!$D$5:$D$300,MATCH($A426,메뉴구조!$A$5:$A$300,0))&amp;""</f>
        <v>보유</v>
      </c>
      <c r="E426" s="19" t="str">
        <f>INDEX(메뉴구조!$E$5:$E$300,MATCH($A426,메뉴구조!$A$5:$A$300,0))&amp;""</f>
        <v>—</v>
      </c>
      <c r="F426" s="9" t="str">
        <f>INDEX(메뉴구조!$G$5:$G$300,MATCH($A426,메뉴구조!$A$5:$A$300,0))&amp;""</f>
        <v>MY / 내 자산 / 보유</v>
      </c>
      <c r="G426" s="18">
        <v>15</v>
      </c>
      <c r="H426" s="31" t="s">
        <v>1514</v>
      </c>
      <c r="I426" s="31" t="s">
        <v>1515</v>
      </c>
      <c r="J426" s="9"/>
      <c r="K426" s="20" t="s">
        <v>9</v>
      </c>
      <c r="L426" s="9" t="s">
        <v>1516</v>
      </c>
      <c r="M426" s="9" t="s">
        <v>1517</v>
      </c>
    </row>
    <row r="427" spans="1:13" ht="162.5">
      <c r="A427" s="18" t="s">
        <v>350</v>
      </c>
      <c r="B427" s="19" t="str">
        <f>INDEX(메뉴구조!$B$5:$B$300,MATCH($A427,메뉴구조!$A$5:$A$300,0))&amp;""</f>
        <v>MY</v>
      </c>
      <c r="C427" s="19" t="str">
        <f>INDEX(메뉴구조!$C$5:$C$300,MATCH($A427,메뉴구조!$A$5:$A$300,0))&amp;""</f>
        <v>내 자산</v>
      </c>
      <c r="D427" s="19" t="str">
        <f>INDEX(메뉴구조!$D$5:$D$300,MATCH($A427,메뉴구조!$A$5:$A$300,0))&amp;""</f>
        <v>보유</v>
      </c>
      <c r="E427" s="19" t="str">
        <f>INDEX(메뉴구조!$E$5:$E$300,MATCH($A427,메뉴구조!$A$5:$A$300,0))&amp;""</f>
        <v>—</v>
      </c>
      <c r="F427" s="9" t="str">
        <f>INDEX(메뉴구조!$G$5:$G$300,MATCH($A427,메뉴구조!$A$5:$A$300,0))&amp;""</f>
        <v>MY / 내 자산 / 보유</v>
      </c>
      <c r="G427" s="18">
        <v>16</v>
      </c>
      <c r="H427" s="9" t="s">
        <v>1518</v>
      </c>
      <c r="I427" s="9" t="s">
        <v>1519</v>
      </c>
      <c r="J427" s="9" t="s">
        <v>1520</v>
      </c>
      <c r="K427" s="30" t="s">
        <v>11</v>
      </c>
      <c r="L427" s="9" t="s">
        <v>1474</v>
      </c>
      <c r="M427" s="9"/>
    </row>
    <row r="428" spans="1:13" ht="125">
      <c r="A428" s="18" t="s">
        <v>350</v>
      </c>
      <c r="B428" s="19" t="str">
        <f>INDEX(메뉴구조!$B$5:$B$300,MATCH($A428,메뉴구조!$A$5:$A$300,0))&amp;""</f>
        <v>MY</v>
      </c>
      <c r="C428" s="19" t="str">
        <f>INDEX(메뉴구조!$C$5:$C$300,MATCH($A428,메뉴구조!$A$5:$A$300,0))&amp;""</f>
        <v>내 자산</v>
      </c>
      <c r="D428" s="19" t="str">
        <f>INDEX(메뉴구조!$D$5:$D$300,MATCH($A428,메뉴구조!$A$5:$A$300,0))&amp;""</f>
        <v>보유</v>
      </c>
      <c r="E428" s="19" t="str">
        <f>INDEX(메뉴구조!$E$5:$E$300,MATCH($A428,메뉴구조!$A$5:$A$300,0))&amp;""</f>
        <v>—</v>
      </c>
      <c r="F428" s="9" t="str">
        <f>INDEX(메뉴구조!$G$5:$G$300,MATCH($A428,메뉴구조!$A$5:$A$300,0))&amp;""</f>
        <v>MY / 내 자산 / 보유</v>
      </c>
      <c r="G428" s="18">
        <v>17</v>
      </c>
      <c r="H428" s="31" t="s">
        <v>1521</v>
      </c>
      <c r="I428" s="31" t="s">
        <v>1522</v>
      </c>
      <c r="J428" s="9"/>
      <c r="K428" s="20" t="s">
        <v>9</v>
      </c>
      <c r="L428" s="9" t="s">
        <v>1523</v>
      </c>
      <c r="M428" s="9" t="s">
        <v>1524</v>
      </c>
    </row>
    <row r="429" spans="1:13" ht="37.5">
      <c r="A429" s="18" t="s">
        <v>356</v>
      </c>
      <c r="B429" s="19" t="str">
        <f>INDEX(메뉴구조!$B$5:$B$300,MATCH($A429,메뉴구조!$A$5:$A$300,0))&amp;""</f>
        <v>MY</v>
      </c>
      <c r="C429" s="19" t="str">
        <f>INDEX(메뉴구조!$C$5:$C$300,MATCH($A429,메뉴구조!$A$5:$A$300,0))&amp;""</f>
        <v>내 자산</v>
      </c>
      <c r="D429" s="19" t="str">
        <f>INDEX(메뉴구조!$D$5:$D$300,MATCH($A429,메뉴구조!$A$5:$A$300,0))&amp;""</f>
        <v>주문 내역</v>
      </c>
      <c r="E429" s="19" t="str">
        <f>INDEX(메뉴구조!$E$5:$E$300,MATCH($A429,메뉴구조!$A$5:$A$300,0))&amp;""</f>
        <v>—</v>
      </c>
      <c r="F429" s="9" t="str">
        <f>INDEX(메뉴구조!$G$5:$G$300,MATCH($A429,메뉴구조!$A$5:$A$300,0))&amp;""</f>
        <v>MY / 내 자산 / 주문 내역</v>
      </c>
      <c r="G429" s="18">
        <v>1</v>
      </c>
      <c r="H429" s="9" t="s">
        <v>1525</v>
      </c>
      <c r="I429" s="9" t="s">
        <v>1526</v>
      </c>
      <c r="J429" s="9"/>
      <c r="K429" s="30" t="s">
        <v>11</v>
      </c>
      <c r="L429" s="9" t="s">
        <v>1474</v>
      </c>
      <c r="M429" s="9"/>
    </row>
    <row r="430" spans="1:13" ht="62.5">
      <c r="A430" s="18" t="s">
        <v>356</v>
      </c>
      <c r="B430" s="19" t="str">
        <f>INDEX(메뉴구조!$B$5:$B$300,MATCH($A430,메뉴구조!$A$5:$A$300,0))&amp;""</f>
        <v>MY</v>
      </c>
      <c r="C430" s="19" t="str">
        <f>INDEX(메뉴구조!$C$5:$C$300,MATCH($A430,메뉴구조!$A$5:$A$300,0))&amp;""</f>
        <v>내 자산</v>
      </c>
      <c r="D430" s="19" t="str">
        <f>INDEX(메뉴구조!$D$5:$D$300,MATCH($A430,메뉴구조!$A$5:$A$300,0))&amp;""</f>
        <v>주문 내역</v>
      </c>
      <c r="E430" s="19" t="str">
        <f>INDEX(메뉴구조!$E$5:$E$300,MATCH($A430,메뉴구조!$A$5:$A$300,0))&amp;""</f>
        <v>—</v>
      </c>
      <c r="F430" s="9" t="str">
        <f>INDEX(메뉴구조!$G$5:$G$300,MATCH($A430,메뉴구조!$A$5:$A$300,0))&amp;""</f>
        <v>MY / 내 자산 / 주문 내역</v>
      </c>
      <c r="G430" s="18">
        <v>2</v>
      </c>
      <c r="H430" s="31" t="s">
        <v>1527</v>
      </c>
      <c r="I430" s="31" t="s">
        <v>1528</v>
      </c>
      <c r="J430" s="9"/>
      <c r="K430" s="20" t="s">
        <v>9</v>
      </c>
      <c r="L430" s="9" t="s">
        <v>1529</v>
      </c>
      <c r="M430" s="9" t="s">
        <v>1530</v>
      </c>
    </row>
    <row r="431" spans="1:13" ht="62.5">
      <c r="A431" s="18" t="s">
        <v>356</v>
      </c>
      <c r="B431" s="19" t="str">
        <f>INDEX(메뉴구조!$B$5:$B$300,MATCH($A431,메뉴구조!$A$5:$A$300,0))&amp;""</f>
        <v>MY</v>
      </c>
      <c r="C431" s="19" t="str">
        <f>INDEX(메뉴구조!$C$5:$C$300,MATCH($A431,메뉴구조!$A$5:$A$300,0))&amp;""</f>
        <v>내 자산</v>
      </c>
      <c r="D431" s="19" t="str">
        <f>INDEX(메뉴구조!$D$5:$D$300,MATCH($A431,메뉴구조!$A$5:$A$300,0))&amp;""</f>
        <v>주문 내역</v>
      </c>
      <c r="E431" s="19" t="str">
        <f>INDEX(메뉴구조!$E$5:$E$300,MATCH($A431,메뉴구조!$A$5:$A$300,0))&amp;""</f>
        <v>—</v>
      </c>
      <c r="F431" s="9" t="str">
        <f>INDEX(메뉴구조!$G$5:$G$300,MATCH($A431,메뉴구조!$A$5:$A$300,0))&amp;""</f>
        <v>MY / 내 자산 / 주문 내역</v>
      </c>
      <c r="G431" s="18">
        <v>3</v>
      </c>
      <c r="H431" s="31" t="s">
        <v>1531</v>
      </c>
      <c r="I431" s="31" t="s">
        <v>1532</v>
      </c>
      <c r="J431" s="9" t="s">
        <v>1533</v>
      </c>
      <c r="K431" s="20" t="s">
        <v>9</v>
      </c>
      <c r="L431" s="9" t="s">
        <v>1534</v>
      </c>
      <c r="M431" s="9" t="s">
        <v>1535</v>
      </c>
    </row>
    <row r="432" spans="1:13" ht="50">
      <c r="A432" s="18" t="s">
        <v>356</v>
      </c>
      <c r="B432" s="19" t="str">
        <f>INDEX(메뉴구조!$B$5:$B$300,MATCH($A432,메뉴구조!$A$5:$A$300,0))&amp;""</f>
        <v>MY</v>
      </c>
      <c r="C432" s="19" t="str">
        <f>INDEX(메뉴구조!$C$5:$C$300,MATCH($A432,메뉴구조!$A$5:$A$300,0))&amp;""</f>
        <v>내 자산</v>
      </c>
      <c r="D432" s="19" t="str">
        <f>INDEX(메뉴구조!$D$5:$D$300,MATCH($A432,메뉴구조!$A$5:$A$300,0))&amp;""</f>
        <v>주문 내역</v>
      </c>
      <c r="E432" s="19" t="str">
        <f>INDEX(메뉴구조!$E$5:$E$300,MATCH($A432,메뉴구조!$A$5:$A$300,0))&amp;""</f>
        <v>—</v>
      </c>
      <c r="F432" s="9" t="str">
        <f>INDEX(메뉴구조!$G$5:$G$300,MATCH($A432,메뉴구조!$A$5:$A$300,0))&amp;""</f>
        <v>MY / 내 자산 / 주문 내역</v>
      </c>
      <c r="G432" s="18">
        <v>4</v>
      </c>
      <c r="H432" s="31" t="s">
        <v>1536</v>
      </c>
      <c r="I432" s="31" t="s">
        <v>1537</v>
      </c>
      <c r="J432" s="9"/>
      <c r="K432" s="20" t="s">
        <v>9</v>
      </c>
      <c r="L432" s="9" t="s">
        <v>1538</v>
      </c>
      <c r="M432" s="9" t="s">
        <v>1539</v>
      </c>
    </row>
    <row r="433" spans="1:13" ht="100">
      <c r="A433" s="18" t="s">
        <v>356</v>
      </c>
      <c r="B433" s="19" t="str">
        <f>INDEX(메뉴구조!$B$5:$B$300,MATCH($A433,메뉴구조!$A$5:$A$300,0))&amp;""</f>
        <v>MY</v>
      </c>
      <c r="C433" s="19" t="str">
        <f>INDEX(메뉴구조!$C$5:$C$300,MATCH($A433,메뉴구조!$A$5:$A$300,0))&amp;""</f>
        <v>내 자산</v>
      </c>
      <c r="D433" s="19" t="str">
        <f>INDEX(메뉴구조!$D$5:$D$300,MATCH($A433,메뉴구조!$A$5:$A$300,0))&amp;""</f>
        <v>주문 내역</v>
      </c>
      <c r="E433" s="19" t="str">
        <f>INDEX(메뉴구조!$E$5:$E$300,MATCH($A433,메뉴구조!$A$5:$A$300,0))&amp;""</f>
        <v>—</v>
      </c>
      <c r="F433" s="9" t="str">
        <f>INDEX(메뉴구조!$G$5:$G$300,MATCH($A433,메뉴구조!$A$5:$A$300,0))&amp;""</f>
        <v>MY / 내 자산 / 주문 내역</v>
      </c>
      <c r="G433" s="18">
        <v>5</v>
      </c>
      <c r="H433" s="31" t="s">
        <v>1540</v>
      </c>
      <c r="I433" s="31" t="s">
        <v>1541</v>
      </c>
      <c r="J433" s="9" t="s">
        <v>1542</v>
      </c>
      <c r="K433" s="20" t="s">
        <v>9</v>
      </c>
      <c r="L433" s="9" t="s">
        <v>1543</v>
      </c>
      <c r="M433" s="9" t="s">
        <v>1544</v>
      </c>
    </row>
    <row r="434" spans="1:13" ht="37.5">
      <c r="A434" s="18" t="s">
        <v>356</v>
      </c>
      <c r="B434" s="19" t="str">
        <f>INDEX(메뉴구조!$B$5:$B$300,MATCH($A434,메뉴구조!$A$5:$A$300,0))&amp;""</f>
        <v>MY</v>
      </c>
      <c r="C434" s="19" t="str">
        <f>INDEX(메뉴구조!$C$5:$C$300,MATCH($A434,메뉴구조!$A$5:$A$300,0))&amp;""</f>
        <v>내 자산</v>
      </c>
      <c r="D434" s="19" t="str">
        <f>INDEX(메뉴구조!$D$5:$D$300,MATCH($A434,메뉴구조!$A$5:$A$300,0))&amp;""</f>
        <v>주문 내역</v>
      </c>
      <c r="E434" s="19" t="str">
        <f>INDEX(메뉴구조!$E$5:$E$300,MATCH($A434,메뉴구조!$A$5:$A$300,0))&amp;""</f>
        <v>—</v>
      </c>
      <c r="F434" s="9" t="str">
        <f>INDEX(메뉴구조!$G$5:$G$300,MATCH($A434,메뉴구조!$A$5:$A$300,0))&amp;""</f>
        <v>MY / 내 자산 / 주문 내역</v>
      </c>
      <c r="G434" s="18">
        <v>6</v>
      </c>
      <c r="H434" s="9" t="s">
        <v>675</v>
      </c>
      <c r="I434" s="9" t="s">
        <v>1545</v>
      </c>
      <c r="J434" s="9"/>
      <c r="K434" s="30" t="s">
        <v>11</v>
      </c>
      <c r="L434" s="9" t="s">
        <v>1474</v>
      </c>
      <c r="M434" s="9"/>
    </row>
    <row r="435" spans="1:13" ht="50">
      <c r="A435" s="18" t="s">
        <v>356</v>
      </c>
      <c r="B435" s="19" t="str">
        <f>INDEX(메뉴구조!$B$5:$B$300,MATCH($A435,메뉴구조!$A$5:$A$300,0))&amp;""</f>
        <v>MY</v>
      </c>
      <c r="C435" s="19" t="str">
        <f>INDEX(메뉴구조!$C$5:$C$300,MATCH($A435,메뉴구조!$A$5:$A$300,0))&amp;""</f>
        <v>내 자산</v>
      </c>
      <c r="D435" s="19" t="str">
        <f>INDEX(메뉴구조!$D$5:$D$300,MATCH($A435,메뉴구조!$A$5:$A$300,0))&amp;""</f>
        <v>주문 내역</v>
      </c>
      <c r="E435" s="19" t="str">
        <f>INDEX(메뉴구조!$E$5:$E$300,MATCH($A435,메뉴구조!$A$5:$A$300,0))&amp;""</f>
        <v>—</v>
      </c>
      <c r="F435" s="9" t="str">
        <f>INDEX(메뉴구조!$G$5:$G$300,MATCH($A435,메뉴구조!$A$5:$A$300,0))&amp;""</f>
        <v>MY / 내 자산 / 주문 내역</v>
      </c>
      <c r="G435" s="18">
        <v>7</v>
      </c>
      <c r="H435" s="28" t="s">
        <v>1546</v>
      </c>
      <c r="I435" s="28" t="s">
        <v>1547</v>
      </c>
      <c r="J435" s="28" t="s">
        <v>1548</v>
      </c>
      <c r="K435" s="18" t="s">
        <v>15</v>
      </c>
      <c r="L435" s="9" t="s">
        <v>1549</v>
      </c>
      <c r="M435" s="9"/>
    </row>
    <row r="436" spans="1:13" ht="50">
      <c r="A436" s="18" t="s">
        <v>356</v>
      </c>
      <c r="B436" s="19" t="str">
        <f>INDEX(메뉴구조!$B$5:$B$300,MATCH($A436,메뉴구조!$A$5:$A$300,0))&amp;""</f>
        <v>MY</v>
      </c>
      <c r="C436" s="19" t="str">
        <f>INDEX(메뉴구조!$C$5:$C$300,MATCH($A436,메뉴구조!$A$5:$A$300,0))&amp;""</f>
        <v>내 자산</v>
      </c>
      <c r="D436" s="19" t="str">
        <f>INDEX(메뉴구조!$D$5:$D$300,MATCH($A436,메뉴구조!$A$5:$A$300,0))&amp;""</f>
        <v>주문 내역</v>
      </c>
      <c r="E436" s="19" t="str">
        <f>INDEX(메뉴구조!$E$5:$E$300,MATCH($A436,메뉴구조!$A$5:$A$300,0))&amp;""</f>
        <v>—</v>
      </c>
      <c r="F436" s="9" t="str">
        <f>INDEX(메뉴구조!$G$5:$G$300,MATCH($A436,메뉴구조!$A$5:$A$300,0))&amp;""</f>
        <v>MY / 내 자산 / 주문 내역</v>
      </c>
      <c r="G436" s="18">
        <v>8</v>
      </c>
      <c r="H436" s="28" t="s">
        <v>1550</v>
      </c>
      <c r="I436" s="28" t="s">
        <v>1551</v>
      </c>
      <c r="J436" s="28" t="s">
        <v>1552</v>
      </c>
      <c r="K436" s="18" t="s">
        <v>15</v>
      </c>
      <c r="L436" s="9" t="s">
        <v>1553</v>
      </c>
      <c r="M436" s="9"/>
    </row>
    <row r="437" spans="1:13" ht="62.5">
      <c r="A437" s="18" t="s">
        <v>356</v>
      </c>
      <c r="B437" s="19" t="str">
        <f>INDEX(메뉴구조!$B$5:$B$300,MATCH($A437,메뉴구조!$A$5:$A$300,0))&amp;""</f>
        <v>MY</v>
      </c>
      <c r="C437" s="19" t="str">
        <f>INDEX(메뉴구조!$C$5:$C$300,MATCH($A437,메뉴구조!$A$5:$A$300,0))&amp;""</f>
        <v>내 자산</v>
      </c>
      <c r="D437" s="19" t="str">
        <f>INDEX(메뉴구조!$D$5:$D$300,MATCH($A437,메뉴구조!$A$5:$A$300,0))&amp;""</f>
        <v>주문 내역</v>
      </c>
      <c r="E437" s="19" t="str">
        <f>INDEX(메뉴구조!$E$5:$E$300,MATCH($A437,메뉴구조!$A$5:$A$300,0))&amp;""</f>
        <v>—</v>
      </c>
      <c r="F437" s="9" t="str">
        <f>INDEX(메뉴구조!$G$5:$G$300,MATCH($A437,메뉴구조!$A$5:$A$300,0))&amp;""</f>
        <v>MY / 내 자산 / 주문 내역</v>
      </c>
      <c r="G437" s="18">
        <v>9</v>
      </c>
      <c r="H437" s="28" t="s">
        <v>1499</v>
      </c>
      <c r="I437" s="28" t="s">
        <v>1554</v>
      </c>
      <c r="J437" s="28" t="s">
        <v>1555</v>
      </c>
      <c r="K437" s="18" t="s">
        <v>15</v>
      </c>
      <c r="L437" s="9" t="s">
        <v>1553</v>
      </c>
      <c r="M437" s="9"/>
    </row>
    <row r="438" spans="1:13" ht="62.5">
      <c r="A438" s="18" t="s">
        <v>356</v>
      </c>
      <c r="B438" s="19" t="str">
        <f>INDEX(메뉴구조!$B$5:$B$300,MATCH($A438,메뉴구조!$A$5:$A$300,0))&amp;""</f>
        <v>MY</v>
      </c>
      <c r="C438" s="19" t="str">
        <f>INDEX(메뉴구조!$C$5:$C$300,MATCH($A438,메뉴구조!$A$5:$A$300,0))&amp;""</f>
        <v>내 자산</v>
      </c>
      <c r="D438" s="19" t="str">
        <f>INDEX(메뉴구조!$D$5:$D$300,MATCH($A438,메뉴구조!$A$5:$A$300,0))&amp;""</f>
        <v>주문 내역</v>
      </c>
      <c r="E438" s="19" t="str">
        <f>INDEX(메뉴구조!$E$5:$E$300,MATCH($A438,메뉴구조!$A$5:$A$300,0))&amp;""</f>
        <v>—</v>
      </c>
      <c r="F438" s="9" t="str">
        <f>INDEX(메뉴구조!$G$5:$G$300,MATCH($A438,메뉴구조!$A$5:$A$300,0))&amp;""</f>
        <v>MY / 내 자산 / 주문 내역</v>
      </c>
      <c r="G438" s="18">
        <v>10</v>
      </c>
      <c r="H438" s="28" t="s">
        <v>1556</v>
      </c>
      <c r="I438" s="28" t="s">
        <v>1557</v>
      </c>
      <c r="J438" s="28" t="s">
        <v>1558</v>
      </c>
      <c r="K438" s="18" t="s">
        <v>15</v>
      </c>
      <c r="L438" s="9" t="s">
        <v>1559</v>
      </c>
      <c r="M438" s="9"/>
    </row>
    <row r="439" spans="1:13" ht="62.5">
      <c r="A439" s="18" t="s">
        <v>356</v>
      </c>
      <c r="B439" s="19" t="str">
        <f>INDEX(메뉴구조!$B$5:$B$300,MATCH($A439,메뉴구조!$A$5:$A$300,0))&amp;""</f>
        <v>MY</v>
      </c>
      <c r="C439" s="19" t="str">
        <f>INDEX(메뉴구조!$C$5:$C$300,MATCH($A439,메뉴구조!$A$5:$A$300,0))&amp;""</f>
        <v>내 자산</v>
      </c>
      <c r="D439" s="19" t="str">
        <f>INDEX(메뉴구조!$D$5:$D$300,MATCH($A439,메뉴구조!$A$5:$A$300,0))&amp;""</f>
        <v>주문 내역</v>
      </c>
      <c r="E439" s="19" t="str">
        <f>INDEX(메뉴구조!$E$5:$E$300,MATCH($A439,메뉴구조!$A$5:$A$300,0))&amp;""</f>
        <v>—</v>
      </c>
      <c r="F439" s="9" t="str">
        <f>INDEX(메뉴구조!$G$5:$G$300,MATCH($A439,메뉴구조!$A$5:$A$300,0))&amp;""</f>
        <v>MY / 내 자산 / 주문 내역</v>
      </c>
      <c r="G439" s="18">
        <v>11</v>
      </c>
      <c r="H439" s="28" t="s">
        <v>1560</v>
      </c>
      <c r="I439" s="28" t="s">
        <v>1561</v>
      </c>
      <c r="J439" s="28" t="s">
        <v>1562</v>
      </c>
      <c r="K439" s="18" t="s">
        <v>15</v>
      </c>
      <c r="L439" s="9" t="s">
        <v>1559</v>
      </c>
      <c r="M439" s="9"/>
    </row>
    <row r="440" spans="1:13" ht="50">
      <c r="A440" s="18" t="s">
        <v>356</v>
      </c>
      <c r="B440" s="19" t="str">
        <f>INDEX(메뉴구조!$B$5:$B$300,MATCH($A440,메뉴구조!$A$5:$A$300,0))&amp;""</f>
        <v>MY</v>
      </c>
      <c r="C440" s="19" t="str">
        <f>INDEX(메뉴구조!$C$5:$C$300,MATCH($A440,메뉴구조!$A$5:$A$300,0))&amp;""</f>
        <v>내 자산</v>
      </c>
      <c r="D440" s="19" t="str">
        <f>INDEX(메뉴구조!$D$5:$D$300,MATCH($A440,메뉴구조!$A$5:$A$300,0))&amp;""</f>
        <v>주문 내역</v>
      </c>
      <c r="E440" s="19" t="str">
        <f>INDEX(메뉴구조!$E$5:$E$300,MATCH($A440,메뉴구조!$A$5:$A$300,0))&amp;""</f>
        <v>—</v>
      </c>
      <c r="F440" s="9" t="str">
        <f>INDEX(메뉴구조!$G$5:$G$300,MATCH($A440,메뉴구조!$A$5:$A$300,0))&amp;""</f>
        <v>MY / 내 자산 / 주문 내역</v>
      </c>
      <c r="G440" s="18">
        <v>12</v>
      </c>
      <c r="H440" s="9" t="s">
        <v>1563</v>
      </c>
      <c r="I440" s="9" t="s">
        <v>1564</v>
      </c>
      <c r="J440" s="9"/>
      <c r="K440" s="30" t="s">
        <v>11</v>
      </c>
      <c r="L440" s="9" t="s">
        <v>1474</v>
      </c>
      <c r="M440" s="9"/>
    </row>
    <row r="441" spans="1:13" ht="62.5">
      <c r="A441" s="18" t="s">
        <v>356</v>
      </c>
      <c r="B441" s="19" t="str">
        <f>INDEX(메뉴구조!$B$5:$B$300,MATCH($A441,메뉴구조!$A$5:$A$300,0))&amp;""</f>
        <v>MY</v>
      </c>
      <c r="C441" s="19" t="str">
        <f>INDEX(메뉴구조!$C$5:$C$300,MATCH($A441,메뉴구조!$A$5:$A$300,0))&amp;""</f>
        <v>내 자산</v>
      </c>
      <c r="D441" s="19" t="str">
        <f>INDEX(메뉴구조!$D$5:$D$300,MATCH($A441,메뉴구조!$A$5:$A$300,0))&amp;""</f>
        <v>주문 내역</v>
      </c>
      <c r="E441" s="19" t="str">
        <f>INDEX(메뉴구조!$E$5:$E$300,MATCH($A441,메뉴구조!$A$5:$A$300,0))&amp;""</f>
        <v>—</v>
      </c>
      <c r="F441" s="9" t="str">
        <f>INDEX(메뉴구조!$G$5:$G$300,MATCH($A441,메뉴구조!$A$5:$A$300,0))&amp;""</f>
        <v>MY / 내 자산 / 주문 내역</v>
      </c>
      <c r="G441" s="18">
        <v>13</v>
      </c>
      <c r="H441" s="28" t="s">
        <v>1269</v>
      </c>
      <c r="I441" s="28" t="s">
        <v>1565</v>
      </c>
      <c r="J441" s="28"/>
      <c r="K441" s="18" t="s">
        <v>15</v>
      </c>
      <c r="L441" s="9" t="s">
        <v>1566</v>
      </c>
      <c r="M441" s="9"/>
    </row>
    <row r="442" spans="1:13" ht="87.5">
      <c r="A442" s="18" t="s">
        <v>356</v>
      </c>
      <c r="B442" s="19" t="str">
        <f>INDEX(메뉴구조!$B$5:$B$300,MATCH($A442,메뉴구조!$A$5:$A$300,0))&amp;""</f>
        <v>MY</v>
      </c>
      <c r="C442" s="19" t="str">
        <f>INDEX(메뉴구조!$C$5:$C$300,MATCH($A442,메뉴구조!$A$5:$A$300,0))&amp;""</f>
        <v>내 자산</v>
      </c>
      <c r="D442" s="19" t="str">
        <f>INDEX(메뉴구조!$D$5:$D$300,MATCH($A442,메뉴구조!$A$5:$A$300,0))&amp;""</f>
        <v>주문 내역</v>
      </c>
      <c r="E442" s="19" t="str">
        <f>INDEX(메뉴구조!$E$5:$E$300,MATCH($A442,메뉴구조!$A$5:$A$300,0))&amp;""</f>
        <v>—</v>
      </c>
      <c r="F442" s="9" t="str">
        <f>INDEX(메뉴구조!$G$5:$G$300,MATCH($A442,메뉴구조!$A$5:$A$300,0))&amp;""</f>
        <v>MY / 내 자산 / 주문 내역</v>
      </c>
      <c r="G442" s="18">
        <v>14</v>
      </c>
      <c r="H442" s="31" t="s">
        <v>1567</v>
      </c>
      <c r="I442" s="31" t="s">
        <v>1568</v>
      </c>
      <c r="J442" s="9" t="s">
        <v>1569</v>
      </c>
      <c r="K442" s="20" t="s">
        <v>9</v>
      </c>
      <c r="L442" s="9" t="s">
        <v>1570</v>
      </c>
      <c r="M442" s="9" t="s">
        <v>1571</v>
      </c>
    </row>
    <row r="443" spans="1:13" ht="100">
      <c r="A443" s="18" t="s">
        <v>356</v>
      </c>
      <c r="B443" s="19" t="str">
        <f>INDEX(메뉴구조!$B$5:$B$300,MATCH($A443,메뉴구조!$A$5:$A$300,0))&amp;""</f>
        <v>MY</v>
      </c>
      <c r="C443" s="19" t="str">
        <f>INDEX(메뉴구조!$C$5:$C$300,MATCH($A443,메뉴구조!$A$5:$A$300,0))&amp;""</f>
        <v>내 자산</v>
      </c>
      <c r="D443" s="19" t="str">
        <f>INDEX(메뉴구조!$D$5:$D$300,MATCH($A443,메뉴구조!$A$5:$A$300,0))&amp;""</f>
        <v>주문 내역</v>
      </c>
      <c r="E443" s="19" t="str">
        <f>INDEX(메뉴구조!$E$5:$E$300,MATCH($A443,메뉴구조!$A$5:$A$300,0))&amp;""</f>
        <v>—</v>
      </c>
      <c r="F443" s="9" t="str">
        <f>INDEX(메뉴구조!$G$5:$G$300,MATCH($A443,메뉴구조!$A$5:$A$300,0))&amp;""</f>
        <v>MY / 내 자산 / 주문 내역</v>
      </c>
      <c r="G443" s="18">
        <v>15</v>
      </c>
      <c r="H443" s="31" t="s">
        <v>1572</v>
      </c>
      <c r="I443" s="31" t="s">
        <v>1573</v>
      </c>
      <c r="J443" s="9" t="s">
        <v>1574</v>
      </c>
      <c r="K443" s="20" t="s">
        <v>9</v>
      </c>
      <c r="L443" s="9" t="s">
        <v>1575</v>
      </c>
      <c r="M443" s="9" t="s">
        <v>1576</v>
      </c>
    </row>
    <row r="444" spans="1:13" ht="50">
      <c r="A444" s="18" t="s">
        <v>356</v>
      </c>
      <c r="B444" s="19" t="str">
        <f>INDEX(메뉴구조!$B$5:$B$300,MATCH($A444,메뉴구조!$A$5:$A$300,0))&amp;""</f>
        <v>MY</v>
      </c>
      <c r="C444" s="19" t="str">
        <f>INDEX(메뉴구조!$C$5:$C$300,MATCH($A444,메뉴구조!$A$5:$A$300,0))&amp;""</f>
        <v>내 자산</v>
      </c>
      <c r="D444" s="19" t="str">
        <f>INDEX(메뉴구조!$D$5:$D$300,MATCH($A444,메뉴구조!$A$5:$A$300,0))&amp;""</f>
        <v>주문 내역</v>
      </c>
      <c r="E444" s="19" t="str">
        <f>INDEX(메뉴구조!$E$5:$E$300,MATCH($A444,메뉴구조!$A$5:$A$300,0))&amp;""</f>
        <v>—</v>
      </c>
      <c r="F444" s="9" t="str">
        <f>INDEX(메뉴구조!$G$5:$G$300,MATCH($A444,메뉴구조!$A$5:$A$300,0))&amp;""</f>
        <v>MY / 내 자산 / 주문 내역</v>
      </c>
      <c r="G444" s="18">
        <v>16</v>
      </c>
      <c r="H444" s="9" t="s">
        <v>1577</v>
      </c>
      <c r="I444" s="9" t="s">
        <v>1578</v>
      </c>
      <c r="J444" s="9"/>
      <c r="K444" s="30" t="s">
        <v>11</v>
      </c>
      <c r="L444" s="9" t="s">
        <v>1474</v>
      </c>
      <c r="M444" s="9"/>
    </row>
    <row r="445" spans="1:13" ht="62.5">
      <c r="A445" s="18" t="s">
        <v>356</v>
      </c>
      <c r="B445" s="19" t="str">
        <f>INDEX(메뉴구조!$B$5:$B$300,MATCH($A445,메뉴구조!$A$5:$A$300,0))&amp;""</f>
        <v>MY</v>
      </c>
      <c r="C445" s="19" t="str">
        <f>INDEX(메뉴구조!$C$5:$C$300,MATCH($A445,메뉴구조!$A$5:$A$300,0))&amp;""</f>
        <v>내 자산</v>
      </c>
      <c r="D445" s="19" t="str">
        <f>INDEX(메뉴구조!$D$5:$D$300,MATCH($A445,메뉴구조!$A$5:$A$300,0))&amp;""</f>
        <v>주문 내역</v>
      </c>
      <c r="E445" s="19" t="str">
        <f>INDEX(메뉴구조!$E$5:$E$300,MATCH($A445,메뉴구조!$A$5:$A$300,0))&amp;""</f>
        <v>—</v>
      </c>
      <c r="F445" s="9" t="str">
        <f>INDEX(메뉴구조!$G$5:$G$300,MATCH($A445,메뉴구조!$A$5:$A$300,0))&amp;""</f>
        <v>MY / 내 자산 / 주문 내역</v>
      </c>
      <c r="G445" s="18">
        <v>17</v>
      </c>
      <c r="H445" s="9" t="s">
        <v>1579</v>
      </c>
      <c r="I445" s="9" t="s">
        <v>1580</v>
      </c>
      <c r="J445" s="9" t="s">
        <v>1581</v>
      </c>
      <c r="K445" s="30" t="s">
        <v>11</v>
      </c>
      <c r="L445" s="9" t="s">
        <v>1474</v>
      </c>
      <c r="M445" s="9"/>
    </row>
    <row r="446" spans="1:13" ht="50">
      <c r="A446" s="18" t="s">
        <v>356</v>
      </c>
      <c r="B446" s="19" t="str">
        <f>INDEX(메뉴구조!$B$5:$B$300,MATCH($A446,메뉴구조!$A$5:$A$300,0))&amp;""</f>
        <v>MY</v>
      </c>
      <c r="C446" s="19" t="str">
        <f>INDEX(메뉴구조!$C$5:$C$300,MATCH($A446,메뉴구조!$A$5:$A$300,0))&amp;""</f>
        <v>내 자산</v>
      </c>
      <c r="D446" s="19" t="str">
        <f>INDEX(메뉴구조!$D$5:$D$300,MATCH($A446,메뉴구조!$A$5:$A$300,0))&amp;""</f>
        <v>주문 내역</v>
      </c>
      <c r="E446" s="19" t="str">
        <f>INDEX(메뉴구조!$E$5:$E$300,MATCH($A446,메뉴구조!$A$5:$A$300,0))&amp;""</f>
        <v>—</v>
      </c>
      <c r="F446" s="9" t="str">
        <f>INDEX(메뉴구조!$G$5:$G$300,MATCH($A446,메뉴구조!$A$5:$A$300,0))&amp;""</f>
        <v>MY / 내 자산 / 주문 내역</v>
      </c>
      <c r="G446" s="18">
        <v>18</v>
      </c>
      <c r="H446" s="32" t="s">
        <v>1582</v>
      </c>
      <c r="I446" s="32" t="s">
        <v>1583</v>
      </c>
      <c r="J446" s="32"/>
      <c r="K446" s="23" t="s">
        <v>7</v>
      </c>
      <c r="L446" s="9" t="s">
        <v>1584</v>
      </c>
      <c r="M446" s="9"/>
    </row>
    <row r="447" spans="1:13" ht="37.5">
      <c r="A447" s="18" t="s">
        <v>361</v>
      </c>
      <c r="B447" s="19" t="str">
        <f>INDEX(메뉴구조!$B$5:$B$300,MATCH($A447,메뉴구조!$A$5:$A$300,0))&amp;""</f>
        <v>MY</v>
      </c>
      <c r="C447" s="19" t="str">
        <f>INDEX(메뉴구조!$C$5:$C$300,MATCH($A447,메뉴구조!$A$5:$A$300,0))&amp;""</f>
        <v>내 자산</v>
      </c>
      <c r="D447" s="19" t="str">
        <f>INDEX(메뉴구조!$D$5:$D$300,MATCH($A447,메뉴구조!$A$5:$A$300,0))&amp;""</f>
        <v>주문 내역</v>
      </c>
      <c r="E447" s="19" t="str">
        <f>INDEX(메뉴구조!$E$5:$E$300,MATCH($A447,메뉴구조!$A$5:$A$300,0))&amp;""</f>
        <v>주문 상세</v>
      </c>
      <c r="F447" s="9" t="str">
        <f>INDEX(메뉴구조!$G$5:$G$300,MATCH($A447,메뉴구조!$A$5:$A$300,0))&amp;""</f>
        <v>MY / 내 자산 / 주문 내역 / 주문 상세</v>
      </c>
      <c r="G447" s="18">
        <v>1</v>
      </c>
      <c r="H447" s="32" t="s">
        <v>1585</v>
      </c>
      <c r="I447" s="32" t="s">
        <v>1586</v>
      </c>
      <c r="J447" s="32"/>
      <c r="K447" s="23" t="s">
        <v>7</v>
      </c>
      <c r="L447" s="9" t="s">
        <v>844</v>
      </c>
      <c r="M447" s="9"/>
    </row>
    <row r="448" spans="1:13" ht="37.5">
      <c r="A448" s="18" t="s">
        <v>361</v>
      </c>
      <c r="B448" s="19" t="str">
        <f>INDEX(메뉴구조!$B$5:$B$300,MATCH($A448,메뉴구조!$A$5:$A$300,0))&amp;""</f>
        <v>MY</v>
      </c>
      <c r="C448" s="19" t="str">
        <f>INDEX(메뉴구조!$C$5:$C$300,MATCH($A448,메뉴구조!$A$5:$A$300,0))&amp;""</f>
        <v>내 자산</v>
      </c>
      <c r="D448" s="19" t="str">
        <f>INDEX(메뉴구조!$D$5:$D$300,MATCH($A448,메뉴구조!$A$5:$A$300,0))&amp;""</f>
        <v>주문 내역</v>
      </c>
      <c r="E448" s="19" t="str">
        <f>INDEX(메뉴구조!$E$5:$E$300,MATCH($A448,메뉴구조!$A$5:$A$300,0))&amp;""</f>
        <v>주문 상세</v>
      </c>
      <c r="F448" s="9" t="str">
        <f>INDEX(메뉴구조!$G$5:$G$300,MATCH($A448,메뉴구조!$A$5:$A$300,0))&amp;""</f>
        <v>MY / 내 자산 / 주문 내역 / 주문 상세</v>
      </c>
      <c r="G448" s="18">
        <v>2</v>
      </c>
      <c r="H448" s="32" t="s">
        <v>1587</v>
      </c>
      <c r="I448" s="32" t="s">
        <v>1588</v>
      </c>
      <c r="J448" s="32"/>
      <c r="K448" s="23" t="s">
        <v>7</v>
      </c>
      <c r="L448" s="9" t="s">
        <v>844</v>
      </c>
      <c r="M448" s="9"/>
    </row>
    <row r="449" spans="1:13" ht="50">
      <c r="A449" s="18" t="s">
        <v>361</v>
      </c>
      <c r="B449" s="19" t="str">
        <f>INDEX(메뉴구조!$B$5:$B$300,MATCH($A449,메뉴구조!$A$5:$A$300,0))&amp;""</f>
        <v>MY</v>
      </c>
      <c r="C449" s="19" t="str">
        <f>INDEX(메뉴구조!$C$5:$C$300,MATCH($A449,메뉴구조!$A$5:$A$300,0))&amp;""</f>
        <v>내 자산</v>
      </c>
      <c r="D449" s="19" t="str">
        <f>INDEX(메뉴구조!$D$5:$D$300,MATCH($A449,메뉴구조!$A$5:$A$300,0))&amp;""</f>
        <v>주문 내역</v>
      </c>
      <c r="E449" s="19" t="str">
        <f>INDEX(메뉴구조!$E$5:$E$300,MATCH($A449,메뉴구조!$A$5:$A$300,0))&amp;""</f>
        <v>주문 상세</v>
      </c>
      <c r="F449" s="9" t="str">
        <f>INDEX(메뉴구조!$G$5:$G$300,MATCH($A449,메뉴구조!$A$5:$A$300,0))&amp;""</f>
        <v>MY / 내 자산 / 주문 내역 / 주문 상세</v>
      </c>
      <c r="G449" s="18">
        <v>3</v>
      </c>
      <c r="H449" s="32" t="s">
        <v>1589</v>
      </c>
      <c r="I449" s="32" t="s">
        <v>1590</v>
      </c>
      <c r="J449" s="32" t="s">
        <v>1591</v>
      </c>
      <c r="K449" s="23" t="s">
        <v>7</v>
      </c>
      <c r="L449" s="9" t="s">
        <v>844</v>
      </c>
      <c r="M449" s="9"/>
    </row>
    <row r="450" spans="1:13" ht="25">
      <c r="A450" s="18" t="s">
        <v>361</v>
      </c>
      <c r="B450" s="19" t="str">
        <f>INDEX(메뉴구조!$B$5:$B$300,MATCH($A450,메뉴구조!$A$5:$A$300,0))&amp;""</f>
        <v>MY</v>
      </c>
      <c r="C450" s="19" t="str">
        <f>INDEX(메뉴구조!$C$5:$C$300,MATCH($A450,메뉴구조!$A$5:$A$300,0))&amp;""</f>
        <v>내 자산</v>
      </c>
      <c r="D450" s="19" t="str">
        <f>INDEX(메뉴구조!$D$5:$D$300,MATCH($A450,메뉴구조!$A$5:$A$300,0))&amp;""</f>
        <v>주문 내역</v>
      </c>
      <c r="E450" s="19" t="str">
        <f>INDEX(메뉴구조!$E$5:$E$300,MATCH($A450,메뉴구조!$A$5:$A$300,0))&amp;""</f>
        <v>주문 상세</v>
      </c>
      <c r="F450" s="9" t="str">
        <f>INDEX(메뉴구조!$G$5:$G$300,MATCH($A450,메뉴구조!$A$5:$A$300,0))&amp;""</f>
        <v>MY / 내 자산 / 주문 내역 / 주문 상세</v>
      </c>
      <c r="G450" s="18">
        <v>4</v>
      </c>
      <c r="H450" s="32" t="s">
        <v>1592</v>
      </c>
      <c r="I450" s="32" t="s">
        <v>1593</v>
      </c>
      <c r="J450" s="32" t="s">
        <v>1594</v>
      </c>
      <c r="K450" s="23" t="s">
        <v>7</v>
      </c>
      <c r="L450" s="9" t="s">
        <v>844</v>
      </c>
      <c r="M450" s="9"/>
    </row>
    <row r="451" spans="1:13" ht="50">
      <c r="A451" s="18" t="s">
        <v>361</v>
      </c>
      <c r="B451" s="19" t="str">
        <f>INDEX(메뉴구조!$B$5:$B$300,MATCH($A451,메뉴구조!$A$5:$A$300,0))&amp;""</f>
        <v>MY</v>
      </c>
      <c r="C451" s="19" t="str">
        <f>INDEX(메뉴구조!$C$5:$C$300,MATCH($A451,메뉴구조!$A$5:$A$300,0))&amp;""</f>
        <v>내 자산</v>
      </c>
      <c r="D451" s="19" t="str">
        <f>INDEX(메뉴구조!$D$5:$D$300,MATCH($A451,메뉴구조!$A$5:$A$300,0))&amp;""</f>
        <v>주문 내역</v>
      </c>
      <c r="E451" s="19" t="str">
        <f>INDEX(메뉴구조!$E$5:$E$300,MATCH($A451,메뉴구조!$A$5:$A$300,0))&amp;""</f>
        <v>주문 상세</v>
      </c>
      <c r="F451" s="9" t="str">
        <f>INDEX(메뉴구조!$G$5:$G$300,MATCH($A451,메뉴구조!$A$5:$A$300,0))&amp;""</f>
        <v>MY / 내 자산 / 주문 내역 / 주문 상세</v>
      </c>
      <c r="G451" s="18">
        <v>5</v>
      </c>
      <c r="H451" s="32" t="s">
        <v>953</v>
      </c>
      <c r="I451" s="32" t="s">
        <v>1595</v>
      </c>
      <c r="J451" s="32" t="s">
        <v>1596</v>
      </c>
      <c r="K451" s="23" t="s">
        <v>7</v>
      </c>
      <c r="L451" s="9" t="s">
        <v>844</v>
      </c>
      <c r="M451" s="9"/>
    </row>
    <row r="452" spans="1:13" ht="75">
      <c r="A452" s="18" t="s">
        <v>365</v>
      </c>
      <c r="B452" s="19" t="str">
        <f>INDEX(메뉴구조!$B$5:$B$300,MATCH($A452,메뉴구조!$A$5:$A$300,0))&amp;""</f>
        <v>MY</v>
      </c>
      <c r="C452" s="19" t="str">
        <f>INDEX(메뉴구조!$C$5:$C$300,MATCH($A452,메뉴구조!$A$5:$A$300,0))&amp;""</f>
        <v>내 자산</v>
      </c>
      <c r="D452" s="19" t="str">
        <f>INDEX(메뉴구조!$D$5:$D$300,MATCH($A452,메뉴구조!$A$5:$A$300,0))&amp;""</f>
        <v>계좌 변경</v>
      </c>
      <c r="E452" s="19" t="str">
        <f>INDEX(메뉴구조!$E$5:$E$300,MATCH($A452,메뉴구조!$A$5:$A$300,0))&amp;""</f>
        <v>—</v>
      </c>
      <c r="F452" s="9" t="str">
        <f>INDEX(메뉴구조!$G$5:$G$300,MATCH($A452,메뉴구조!$A$5:$A$300,0))&amp;""</f>
        <v>MY / 내 자산 / 계좌 변경</v>
      </c>
      <c r="G452" s="18">
        <v>1</v>
      </c>
      <c r="H452" s="31" t="s">
        <v>1597</v>
      </c>
      <c r="I452" s="31" t="s">
        <v>1598</v>
      </c>
      <c r="J452" s="9" t="s">
        <v>1599</v>
      </c>
      <c r="K452" s="20" t="s">
        <v>9</v>
      </c>
      <c r="L452" s="9" t="s">
        <v>1600</v>
      </c>
      <c r="M452" s="9" t="s">
        <v>1601</v>
      </c>
    </row>
    <row r="453" spans="1:13" ht="37.5">
      <c r="A453" s="18" t="s">
        <v>365</v>
      </c>
      <c r="B453" s="19" t="str">
        <f>INDEX(메뉴구조!$B$5:$B$300,MATCH($A453,메뉴구조!$A$5:$A$300,0))&amp;""</f>
        <v>MY</v>
      </c>
      <c r="C453" s="19" t="str">
        <f>INDEX(메뉴구조!$C$5:$C$300,MATCH($A453,메뉴구조!$A$5:$A$300,0))&amp;""</f>
        <v>내 자산</v>
      </c>
      <c r="D453" s="19" t="str">
        <f>INDEX(메뉴구조!$D$5:$D$300,MATCH($A453,메뉴구조!$A$5:$A$300,0))&amp;""</f>
        <v>계좌 변경</v>
      </c>
      <c r="E453" s="19" t="str">
        <f>INDEX(메뉴구조!$E$5:$E$300,MATCH($A453,메뉴구조!$A$5:$A$300,0))&amp;""</f>
        <v>—</v>
      </c>
      <c r="F453" s="9" t="str">
        <f>INDEX(메뉴구조!$G$5:$G$300,MATCH($A453,메뉴구조!$A$5:$A$300,0))&amp;""</f>
        <v>MY / 내 자산 / 계좌 변경</v>
      </c>
      <c r="G453" s="18">
        <v>2</v>
      </c>
      <c r="H453" s="9" t="s">
        <v>1602</v>
      </c>
      <c r="I453" s="9" t="s">
        <v>1603</v>
      </c>
      <c r="J453" s="9"/>
      <c r="K453" s="30" t="s">
        <v>11</v>
      </c>
      <c r="L453" s="9" t="s">
        <v>1474</v>
      </c>
      <c r="M453" s="9"/>
    </row>
    <row r="454" spans="1:13" ht="25">
      <c r="A454" s="18" t="s">
        <v>365</v>
      </c>
      <c r="B454" s="19" t="str">
        <f>INDEX(메뉴구조!$B$5:$B$300,MATCH($A454,메뉴구조!$A$5:$A$300,0))&amp;""</f>
        <v>MY</v>
      </c>
      <c r="C454" s="19" t="str">
        <f>INDEX(메뉴구조!$C$5:$C$300,MATCH($A454,메뉴구조!$A$5:$A$300,0))&amp;""</f>
        <v>내 자산</v>
      </c>
      <c r="D454" s="19" t="str">
        <f>INDEX(메뉴구조!$D$5:$D$300,MATCH($A454,메뉴구조!$A$5:$A$300,0))&amp;""</f>
        <v>계좌 변경</v>
      </c>
      <c r="E454" s="19" t="str">
        <f>INDEX(메뉴구조!$E$5:$E$300,MATCH($A454,메뉴구조!$A$5:$A$300,0))&amp;""</f>
        <v>—</v>
      </c>
      <c r="F454" s="9" t="str">
        <f>INDEX(메뉴구조!$G$5:$G$300,MATCH($A454,메뉴구조!$A$5:$A$300,0))&amp;""</f>
        <v>MY / 내 자산 / 계좌 변경</v>
      </c>
      <c r="G454" s="18">
        <v>3</v>
      </c>
      <c r="H454" s="9" t="s">
        <v>1604</v>
      </c>
      <c r="I454" s="9" t="s">
        <v>1605</v>
      </c>
      <c r="J454" s="9"/>
      <c r="K454" s="30" t="s">
        <v>11</v>
      </c>
      <c r="L454" s="9" t="s">
        <v>1474</v>
      </c>
      <c r="M454" s="9"/>
    </row>
    <row r="455" spans="1:13" ht="62.5">
      <c r="A455" s="18" t="s">
        <v>365</v>
      </c>
      <c r="B455" s="19" t="str">
        <f>INDEX(메뉴구조!$B$5:$B$300,MATCH($A455,메뉴구조!$A$5:$A$300,0))&amp;""</f>
        <v>MY</v>
      </c>
      <c r="C455" s="19" t="str">
        <f>INDEX(메뉴구조!$C$5:$C$300,MATCH($A455,메뉴구조!$A$5:$A$300,0))&amp;""</f>
        <v>내 자산</v>
      </c>
      <c r="D455" s="19" t="str">
        <f>INDEX(메뉴구조!$D$5:$D$300,MATCH($A455,메뉴구조!$A$5:$A$300,0))&amp;""</f>
        <v>계좌 변경</v>
      </c>
      <c r="E455" s="19" t="str">
        <f>INDEX(메뉴구조!$E$5:$E$300,MATCH($A455,메뉴구조!$A$5:$A$300,0))&amp;""</f>
        <v>—</v>
      </c>
      <c r="F455" s="9" t="str">
        <f>INDEX(메뉴구조!$G$5:$G$300,MATCH($A455,메뉴구조!$A$5:$A$300,0))&amp;""</f>
        <v>MY / 내 자산 / 계좌 변경</v>
      </c>
      <c r="G455" s="18">
        <v>4</v>
      </c>
      <c r="H455" s="9" t="s">
        <v>1606</v>
      </c>
      <c r="I455" s="9" t="s">
        <v>1607</v>
      </c>
      <c r="J455" s="9" t="s">
        <v>1608</v>
      </c>
      <c r="K455" s="30" t="s">
        <v>11</v>
      </c>
      <c r="L455" s="9" t="s">
        <v>1474</v>
      </c>
      <c r="M455" s="9"/>
    </row>
    <row r="456" spans="1:13">
      <c r="A456" s="18" t="s">
        <v>365</v>
      </c>
      <c r="B456" s="19" t="str">
        <f>INDEX(메뉴구조!$B$5:$B$300,MATCH($A456,메뉴구조!$A$5:$A$300,0))&amp;""</f>
        <v>MY</v>
      </c>
      <c r="C456" s="19" t="str">
        <f>INDEX(메뉴구조!$C$5:$C$300,MATCH($A456,메뉴구조!$A$5:$A$300,0))&amp;""</f>
        <v>내 자산</v>
      </c>
      <c r="D456" s="19" t="str">
        <f>INDEX(메뉴구조!$D$5:$D$300,MATCH($A456,메뉴구조!$A$5:$A$300,0))&amp;""</f>
        <v>계좌 변경</v>
      </c>
      <c r="E456" s="19" t="str">
        <f>INDEX(메뉴구조!$E$5:$E$300,MATCH($A456,메뉴구조!$A$5:$A$300,0))&amp;""</f>
        <v>—</v>
      </c>
      <c r="F456" s="9" t="str">
        <f>INDEX(메뉴구조!$G$5:$G$300,MATCH($A456,메뉴구조!$A$5:$A$300,0))&amp;""</f>
        <v>MY / 내 자산 / 계좌 변경</v>
      </c>
      <c r="G456" s="18">
        <v>5</v>
      </c>
      <c r="H456" s="9" t="s">
        <v>1609</v>
      </c>
      <c r="I456" s="9" t="s">
        <v>1610</v>
      </c>
      <c r="J456" s="9"/>
      <c r="K456" s="30" t="s">
        <v>11</v>
      </c>
      <c r="L456" s="9" t="s">
        <v>1474</v>
      </c>
      <c r="M456" s="9"/>
    </row>
    <row r="457" spans="1:13" ht="37.5">
      <c r="A457" s="18" t="s">
        <v>369</v>
      </c>
      <c r="B457" s="19" t="str">
        <f>INDEX(메뉴구조!$B$5:$B$300,MATCH($A457,메뉴구조!$A$5:$A$300,0))&amp;""</f>
        <v>MY</v>
      </c>
      <c r="C457" s="19" t="str">
        <f>INDEX(메뉴구조!$C$5:$C$300,MATCH($A457,메뉴구조!$A$5:$A$300,0))&amp;""</f>
        <v>내 자산</v>
      </c>
      <c r="D457" s="19" t="str">
        <f>INDEX(메뉴구조!$D$5:$D$300,MATCH($A457,메뉴구조!$A$5:$A$300,0))&amp;""</f>
        <v>손익 현황</v>
      </c>
      <c r="E457" s="19" t="str">
        <f>INDEX(메뉴구조!$E$5:$E$300,MATCH($A457,메뉴구조!$A$5:$A$300,0))&amp;""</f>
        <v>—</v>
      </c>
      <c r="F457" s="9" t="str">
        <f>INDEX(메뉴구조!$G$5:$G$300,MATCH($A457,메뉴구조!$A$5:$A$300,0))&amp;""</f>
        <v>MY / 내 자산 / 손익 현황</v>
      </c>
      <c r="G457" s="18">
        <v>1</v>
      </c>
      <c r="H457" s="9" t="s">
        <v>1611</v>
      </c>
      <c r="I457" s="9" t="s">
        <v>1612</v>
      </c>
      <c r="J457" s="9"/>
      <c r="K457" s="30" t="s">
        <v>11</v>
      </c>
      <c r="L457" s="9" t="s">
        <v>1474</v>
      </c>
      <c r="M457" s="9"/>
    </row>
    <row r="458" spans="1:13" ht="75">
      <c r="A458" s="18" t="s">
        <v>369</v>
      </c>
      <c r="B458" s="19" t="str">
        <f>INDEX(메뉴구조!$B$5:$B$300,MATCH($A458,메뉴구조!$A$5:$A$300,0))&amp;""</f>
        <v>MY</v>
      </c>
      <c r="C458" s="19" t="str">
        <f>INDEX(메뉴구조!$C$5:$C$300,MATCH($A458,메뉴구조!$A$5:$A$300,0))&amp;""</f>
        <v>내 자산</v>
      </c>
      <c r="D458" s="19" t="str">
        <f>INDEX(메뉴구조!$D$5:$D$300,MATCH($A458,메뉴구조!$A$5:$A$300,0))&amp;""</f>
        <v>손익 현황</v>
      </c>
      <c r="E458" s="19" t="str">
        <f>INDEX(메뉴구조!$E$5:$E$300,MATCH($A458,메뉴구조!$A$5:$A$300,0))&amp;""</f>
        <v>—</v>
      </c>
      <c r="F458" s="9" t="str">
        <f>INDEX(메뉴구조!$G$5:$G$300,MATCH($A458,메뉴구조!$A$5:$A$300,0))&amp;""</f>
        <v>MY / 내 자산 / 손익 현황</v>
      </c>
      <c r="G458" s="18">
        <v>2</v>
      </c>
      <c r="H458" s="9" t="s">
        <v>1613</v>
      </c>
      <c r="I458" s="9" t="s">
        <v>1614</v>
      </c>
      <c r="J458" s="9" t="s">
        <v>1615</v>
      </c>
      <c r="K458" s="30" t="s">
        <v>11</v>
      </c>
      <c r="L458" s="9" t="s">
        <v>1474</v>
      </c>
      <c r="M458" s="9"/>
    </row>
    <row r="459" spans="1:13" ht="37.5">
      <c r="A459" s="18" t="s">
        <v>369</v>
      </c>
      <c r="B459" s="19" t="str">
        <f>INDEX(메뉴구조!$B$5:$B$300,MATCH($A459,메뉴구조!$A$5:$A$300,0))&amp;""</f>
        <v>MY</v>
      </c>
      <c r="C459" s="19" t="str">
        <f>INDEX(메뉴구조!$C$5:$C$300,MATCH($A459,메뉴구조!$A$5:$A$300,0))&amp;""</f>
        <v>내 자산</v>
      </c>
      <c r="D459" s="19" t="str">
        <f>INDEX(메뉴구조!$D$5:$D$300,MATCH($A459,메뉴구조!$A$5:$A$300,0))&amp;""</f>
        <v>손익 현황</v>
      </c>
      <c r="E459" s="19" t="str">
        <f>INDEX(메뉴구조!$E$5:$E$300,MATCH($A459,메뉴구조!$A$5:$A$300,0))&amp;""</f>
        <v>—</v>
      </c>
      <c r="F459" s="9" t="str">
        <f>INDEX(메뉴구조!$G$5:$G$300,MATCH($A459,메뉴구조!$A$5:$A$300,0))&amp;""</f>
        <v>MY / 내 자산 / 손익 현황</v>
      </c>
      <c r="G459" s="18">
        <v>3</v>
      </c>
      <c r="H459" s="9" t="s">
        <v>1616</v>
      </c>
      <c r="I459" s="9" t="s">
        <v>1617</v>
      </c>
      <c r="J459" s="9"/>
      <c r="K459" s="30" t="s">
        <v>11</v>
      </c>
      <c r="L459" s="9" t="s">
        <v>1474</v>
      </c>
      <c r="M459" s="9"/>
    </row>
    <row r="460" spans="1:13" ht="62.5">
      <c r="A460" s="18" t="s">
        <v>369</v>
      </c>
      <c r="B460" s="19" t="str">
        <f>INDEX(메뉴구조!$B$5:$B$300,MATCH($A460,메뉴구조!$A$5:$A$300,0))&amp;""</f>
        <v>MY</v>
      </c>
      <c r="C460" s="19" t="str">
        <f>INDEX(메뉴구조!$C$5:$C$300,MATCH($A460,메뉴구조!$A$5:$A$300,0))&amp;""</f>
        <v>내 자산</v>
      </c>
      <c r="D460" s="19" t="str">
        <f>INDEX(메뉴구조!$D$5:$D$300,MATCH($A460,메뉴구조!$A$5:$A$300,0))&amp;""</f>
        <v>손익 현황</v>
      </c>
      <c r="E460" s="19" t="str">
        <f>INDEX(메뉴구조!$E$5:$E$300,MATCH($A460,메뉴구조!$A$5:$A$300,0))&amp;""</f>
        <v>—</v>
      </c>
      <c r="F460" s="9" t="str">
        <f>INDEX(메뉴구조!$G$5:$G$300,MATCH($A460,메뉴구조!$A$5:$A$300,0))&amp;""</f>
        <v>MY / 내 자산 / 손익 현황</v>
      </c>
      <c r="G460" s="18">
        <v>4</v>
      </c>
      <c r="H460" s="9" t="s">
        <v>1618</v>
      </c>
      <c r="I460" s="9" t="s">
        <v>1619</v>
      </c>
      <c r="J460" s="9" t="s">
        <v>1620</v>
      </c>
      <c r="K460" s="30" t="s">
        <v>11</v>
      </c>
      <c r="L460" s="9" t="s">
        <v>1474</v>
      </c>
      <c r="M460" s="9"/>
    </row>
    <row r="461" spans="1:13" ht="50">
      <c r="A461" s="18" t="s">
        <v>369</v>
      </c>
      <c r="B461" s="19" t="str">
        <f>INDEX(메뉴구조!$B$5:$B$300,MATCH($A461,메뉴구조!$A$5:$A$300,0))&amp;""</f>
        <v>MY</v>
      </c>
      <c r="C461" s="19" t="str">
        <f>INDEX(메뉴구조!$C$5:$C$300,MATCH($A461,메뉴구조!$A$5:$A$300,0))&amp;""</f>
        <v>내 자산</v>
      </c>
      <c r="D461" s="19" t="str">
        <f>INDEX(메뉴구조!$D$5:$D$300,MATCH($A461,메뉴구조!$A$5:$A$300,0))&amp;""</f>
        <v>손익 현황</v>
      </c>
      <c r="E461" s="19" t="str">
        <f>INDEX(메뉴구조!$E$5:$E$300,MATCH($A461,메뉴구조!$A$5:$A$300,0))&amp;""</f>
        <v>—</v>
      </c>
      <c r="F461" s="9" t="str">
        <f>INDEX(메뉴구조!$G$5:$G$300,MATCH($A461,메뉴구조!$A$5:$A$300,0))&amp;""</f>
        <v>MY / 내 자산 / 손익 현황</v>
      </c>
      <c r="G461" s="18">
        <v>5</v>
      </c>
      <c r="H461" s="9" t="s">
        <v>1621</v>
      </c>
      <c r="I461" s="9" t="s">
        <v>1622</v>
      </c>
      <c r="J461" s="9" t="s">
        <v>1623</v>
      </c>
      <c r="K461" s="30" t="s">
        <v>11</v>
      </c>
      <c r="L461" s="9" t="s">
        <v>1474</v>
      </c>
      <c r="M461" s="9"/>
    </row>
    <row r="462" spans="1:13" ht="37.5">
      <c r="A462" s="18" t="s">
        <v>369</v>
      </c>
      <c r="B462" s="19" t="str">
        <f>INDEX(메뉴구조!$B$5:$B$300,MATCH($A462,메뉴구조!$A$5:$A$300,0))&amp;""</f>
        <v>MY</v>
      </c>
      <c r="C462" s="19" t="str">
        <f>INDEX(메뉴구조!$C$5:$C$300,MATCH($A462,메뉴구조!$A$5:$A$300,0))&amp;""</f>
        <v>내 자산</v>
      </c>
      <c r="D462" s="19" t="str">
        <f>INDEX(메뉴구조!$D$5:$D$300,MATCH($A462,메뉴구조!$A$5:$A$300,0))&amp;""</f>
        <v>손익 현황</v>
      </c>
      <c r="E462" s="19" t="str">
        <f>INDEX(메뉴구조!$E$5:$E$300,MATCH($A462,메뉴구조!$A$5:$A$300,0))&amp;""</f>
        <v>—</v>
      </c>
      <c r="F462" s="9" t="str">
        <f>INDEX(메뉴구조!$G$5:$G$300,MATCH($A462,메뉴구조!$A$5:$A$300,0))&amp;""</f>
        <v>MY / 내 자산 / 손익 현황</v>
      </c>
      <c r="G462" s="18">
        <v>6</v>
      </c>
      <c r="H462" s="9" t="s">
        <v>615</v>
      </c>
      <c r="I462" s="9" t="s">
        <v>1624</v>
      </c>
      <c r="J462" s="9"/>
      <c r="K462" s="30" t="s">
        <v>11</v>
      </c>
      <c r="L462" s="9" t="s">
        <v>1474</v>
      </c>
      <c r="M462" s="9"/>
    </row>
    <row r="463" spans="1:13" ht="75">
      <c r="A463" s="18" t="s">
        <v>369</v>
      </c>
      <c r="B463" s="19" t="str">
        <f>INDEX(메뉴구조!$B$5:$B$300,MATCH($A463,메뉴구조!$A$5:$A$300,0))&amp;""</f>
        <v>MY</v>
      </c>
      <c r="C463" s="19" t="str">
        <f>INDEX(메뉴구조!$C$5:$C$300,MATCH($A463,메뉴구조!$A$5:$A$300,0))&amp;""</f>
        <v>내 자산</v>
      </c>
      <c r="D463" s="19" t="str">
        <f>INDEX(메뉴구조!$D$5:$D$300,MATCH($A463,메뉴구조!$A$5:$A$300,0))&amp;""</f>
        <v>손익 현황</v>
      </c>
      <c r="E463" s="19" t="str">
        <f>INDEX(메뉴구조!$E$5:$E$300,MATCH($A463,메뉴구조!$A$5:$A$300,0))&amp;""</f>
        <v>—</v>
      </c>
      <c r="F463" s="9" t="str">
        <f>INDEX(메뉴구조!$G$5:$G$300,MATCH($A463,메뉴구조!$A$5:$A$300,0))&amp;""</f>
        <v>MY / 내 자산 / 손익 현황</v>
      </c>
      <c r="G463" s="18">
        <v>7</v>
      </c>
      <c r="H463" s="28" t="s">
        <v>1625</v>
      </c>
      <c r="I463" s="28" t="s">
        <v>1626</v>
      </c>
      <c r="J463" s="28"/>
      <c r="K463" s="18" t="s">
        <v>15</v>
      </c>
      <c r="L463" s="9" t="s">
        <v>1549</v>
      </c>
      <c r="M463" s="9"/>
    </row>
    <row r="464" spans="1:13" ht="62.5">
      <c r="A464" s="18" t="s">
        <v>369</v>
      </c>
      <c r="B464" s="19" t="str">
        <f>INDEX(메뉴구조!$B$5:$B$300,MATCH($A464,메뉴구조!$A$5:$A$300,0))&amp;""</f>
        <v>MY</v>
      </c>
      <c r="C464" s="19" t="str">
        <f>INDEX(메뉴구조!$C$5:$C$300,MATCH($A464,메뉴구조!$A$5:$A$300,0))&amp;""</f>
        <v>내 자산</v>
      </c>
      <c r="D464" s="19" t="str">
        <f>INDEX(메뉴구조!$D$5:$D$300,MATCH($A464,메뉴구조!$A$5:$A$300,0))&amp;""</f>
        <v>손익 현황</v>
      </c>
      <c r="E464" s="19" t="str">
        <f>INDEX(메뉴구조!$E$5:$E$300,MATCH($A464,메뉴구조!$A$5:$A$300,0))&amp;""</f>
        <v>—</v>
      </c>
      <c r="F464" s="9" t="str">
        <f>INDEX(메뉴구조!$G$5:$G$300,MATCH($A464,메뉴구조!$A$5:$A$300,0))&amp;""</f>
        <v>MY / 내 자산 / 손익 현황</v>
      </c>
      <c r="G464" s="18">
        <v>8</v>
      </c>
      <c r="H464" s="28" t="s">
        <v>1627</v>
      </c>
      <c r="I464" s="28" t="s">
        <v>1628</v>
      </c>
      <c r="J464" s="28"/>
      <c r="K464" s="18" t="s">
        <v>15</v>
      </c>
      <c r="L464" s="9" t="s">
        <v>1549</v>
      </c>
      <c r="M464" s="9"/>
    </row>
    <row r="465" spans="1:13" ht="75">
      <c r="A465" s="18" t="s">
        <v>369</v>
      </c>
      <c r="B465" s="19" t="str">
        <f>INDEX(메뉴구조!$B$5:$B$300,MATCH($A465,메뉴구조!$A$5:$A$300,0))&amp;""</f>
        <v>MY</v>
      </c>
      <c r="C465" s="19" t="str">
        <f>INDEX(메뉴구조!$C$5:$C$300,MATCH($A465,메뉴구조!$A$5:$A$300,0))&amp;""</f>
        <v>내 자산</v>
      </c>
      <c r="D465" s="19" t="str">
        <f>INDEX(메뉴구조!$D$5:$D$300,MATCH($A465,메뉴구조!$A$5:$A$300,0))&amp;""</f>
        <v>손익 현황</v>
      </c>
      <c r="E465" s="19" t="str">
        <f>INDEX(메뉴구조!$E$5:$E$300,MATCH($A465,메뉴구조!$A$5:$A$300,0))&amp;""</f>
        <v>—</v>
      </c>
      <c r="F465" s="9" t="str">
        <f>INDEX(메뉴구조!$G$5:$G$300,MATCH($A465,메뉴구조!$A$5:$A$300,0))&amp;""</f>
        <v>MY / 내 자산 / 손익 현황</v>
      </c>
      <c r="G465" s="18">
        <v>9</v>
      </c>
      <c r="H465" s="28" t="s">
        <v>1629</v>
      </c>
      <c r="I465" s="28" t="s">
        <v>1630</v>
      </c>
      <c r="J465" s="28" t="s">
        <v>1631</v>
      </c>
      <c r="K465" s="18" t="s">
        <v>15</v>
      </c>
      <c r="L465" s="9" t="s">
        <v>1549</v>
      </c>
      <c r="M465" s="9"/>
    </row>
    <row r="466" spans="1:13" ht="100">
      <c r="A466" s="18" t="s">
        <v>369</v>
      </c>
      <c r="B466" s="19" t="str">
        <f>INDEX(메뉴구조!$B$5:$B$300,MATCH($A466,메뉴구조!$A$5:$A$300,0))&amp;""</f>
        <v>MY</v>
      </c>
      <c r="C466" s="19" t="str">
        <f>INDEX(메뉴구조!$C$5:$C$300,MATCH($A466,메뉴구조!$A$5:$A$300,0))&amp;""</f>
        <v>내 자산</v>
      </c>
      <c r="D466" s="19" t="str">
        <f>INDEX(메뉴구조!$D$5:$D$300,MATCH($A466,메뉴구조!$A$5:$A$300,0))&amp;""</f>
        <v>손익 현황</v>
      </c>
      <c r="E466" s="19" t="str">
        <f>INDEX(메뉴구조!$E$5:$E$300,MATCH($A466,메뉴구조!$A$5:$A$300,0))&amp;""</f>
        <v>—</v>
      </c>
      <c r="F466" s="9" t="str">
        <f>INDEX(메뉴구조!$G$5:$G$300,MATCH($A466,메뉴구조!$A$5:$A$300,0))&amp;""</f>
        <v>MY / 내 자산 / 손익 현황</v>
      </c>
      <c r="G466" s="18">
        <v>10</v>
      </c>
      <c r="H466" s="31" t="s">
        <v>1632</v>
      </c>
      <c r="I466" s="31" t="s">
        <v>1633</v>
      </c>
      <c r="J466" s="9" t="s">
        <v>1634</v>
      </c>
      <c r="K466" s="20" t="s">
        <v>9</v>
      </c>
      <c r="L466" s="9" t="s">
        <v>1635</v>
      </c>
      <c r="M466" s="9" t="s">
        <v>1636</v>
      </c>
    </row>
    <row r="467" spans="1:13" ht="87.5">
      <c r="A467" s="18" t="s">
        <v>369</v>
      </c>
      <c r="B467" s="19" t="str">
        <f>INDEX(메뉴구조!$B$5:$B$300,MATCH($A467,메뉴구조!$A$5:$A$300,0))&amp;""</f>
        <v>MY</v>
      </c>
      <c r="C467" s="19" t="str">
        <f>INDEX(메뉴구조!$C$5:$C$300,MATCH($A467,메뉴구조!$A$5:$A$300,0))&amp;""</f>
        <v>내 자산</v>
      </c>
      <c r="D467" s="19" t="str">
        <f>INDEX(메뉴구조!$D$5:$D$300,MATCH($A467,메뉴구조!$A$5:$A$300,0))&amp;""</f>
        <v>손익 현황</v>
      </c>
      <c r="E467" s="19" t="str">
        <f>INDEX(메뉴구조!$E$5:$E$300,MATCH($A467,메뉴구조!$A$5:$A$300,0))&amp;""</f>
        <v>—</v>
      </c>
      <c r="F467" s="9" t="str">
        <f>INDEX(메뉴구조!$G$5:$G$300,MATCH($A467,메뉴구조!$A$5:$A$300,0))&amp;""</f>
        <v>MY / 내 자산 / 손익 현황</v>
      </c>
      <c r="G467" s="18">
        <v>11</v>
      </c>
      <c r="H467" s="9" t="s">
        <v>1637</v>
      </c>
      <c r="I467" s="9" t="s">
        <v>1638</v>
      </c>
      <c r="J467" s="9"/>
      <c r="K467" s="30" t="s">
        <v>11</v>
      </c>
      <c r="L467" s="9" t="s">
        <v>1474</v>
      </c>
      <c r="M467" s="9"/>
    </row>
    <row r="468" spans="1:13" ht="75">
      <c r="A468" s="18" t="s">
        <v>369</v>
      </c>
      <c r="B468" s="19" t="str">
        <f>INDEX(메뉴구조!$B$5:$B$300,MATCH($A468,메뉴구조!$A$5:$A$300,0))&amp;""</f>
        <v>MY</v>
      </c>
      <c r="C468" s="19" t="str">
        <f>INDEX(메뉴구조!$C$5:$C$300,MATCH($A468,메뉴구조!$A$5:$A$300,0))&amp;""</f>
        <v>내 자산</v>
      </c>
      <c r="D468" s="19" t="str">
        <f>INDEX(메뉴구조!$D$5:$D$300,MATCH($A468,메뉴구조!$A$5:$A$300,0))&amp;""</f>
        <v>손익 현황</v>
      </c>
      <c r="E468" s="19" t="str">
        <f>INDEX(메뉴구조!$E$5:$E$300,MATCH($A468,메뉴구조!$A$5:$A$300,0))&amp;""</f>
        <v>—</v>
      </c>
      <c r="F468" s="9" t="str">
        <f>INDEX(메뉴구조!$G$5:$G$300,MATCH($A468,메뉴구조!$A$5:$A$300,0))&amp;""</f>
        <v>MY / 내 자산 / 손익 현황</v>
      </c>
      <c r="G468" s="18">
        <v>12</v>
      </c>
      <c r="H468" s="9" t="s">
        <v>1269</v>
      </c>
      <c r="I468" s="9" t="s">
        <v>1639</v>
      </c>
      <c r="J468" s="9"/>
      <c r="K468" s="30" t="s">
        <v>11</v>
      </c>
      <c r="L468" s="9" t="s">
        <v>1474</v>
      </c>
      <c r="M468" s="9"/>
    </row>
    <row r="469" spans="1:13" ht="100">
      <c r="A469" s="18" t="s">
        <v>369</v>
      </c>
      <c r="B469" s="19" t="str">
        <f>INDEX(메뉴구조!$B$5:$B$300,MATCH($A469,메뉴구조!$A$5:$A$300,0))&amp;""</f>
        <v>MY</v>
      </c>
      <c r="C469" s="19" t="str">
        <f>INDEX(메뉴구조!$C$5:$C$300,MATCH($A469,메뉴구조!$A$5:$A$300,0))&amp;""</f>
        <v>내 자산</v>
      </c>
      <c r="D469" s="19" t="str">
        <f>INDEX(메뉴구조!$D$5:$D$300,MATCH($A469,메뉴구조!$A$5:$A$300,0))&amp;""</f>
        <v>손익 현황</v>
      </c>
      <c r="E469" s="19" t="str">
        <f>INDEX(메뉴구조!$E$5:$E$300,MATCH($A469,메뉴구조!$A$5:$A$300,0))&amp;""</f>
        <v>—</v>
      </c>
      <c r="F469" s="9" t="str">
        <f>INDEX(메뉴구조!$G$5:$G$300,MATCH($A469,메뉴구조!$A$5:$A$300,0))&amp;""</f>
        <v>MY / 내 자산 / 손익 현황</v>
      </c>
      <c r="G469" s="18">
        <v>13</v>
      </c>
      <c r="H469" s="9" t="s">
        <v>1640</v>
      </c>
      <c r="I469" s="9" t="s">
        <v>1641</v>
      </c>
      <c r="J469" s="9"/>
      <c r="K469" s="30" t="s">
        <v>11</v>
      </c>
      <c r="L469" s="9" t="s">
        <v>1474</v>
      </c>
      <c r="M469" s="9"/>
    </row>
    <row r="470" spans="1:13" ht="62.5">
      <c r="A470" s="18" t="s">
        <v>374</v>
      </c>
      <c r="B470" s="19" t="str">
        <f>INDEX(메뉴구조!$B$5:$B$300,MATCH($A470,메뉴구조!$A$5:$A$300,0))&amp;""</f>
        <v>MY</v>
      </c>
      <c r="C470" s="19" t="str">
        <f>INDEX(메뉴구조!$C$5:$C$300,MATCH($A470,메뉴구조!$A$5:$A$300,0))&amp;""</f>
        <v>내 자산</v>
      </c>
      <c r="D470" s="19" t="str">
        <f>INDEX(메뉴구조!$D$5:$D$300,MATCH($A470,메뉴구조!$A$5:$A$300,0))&amp;""</f>
        <v>거래 한도</v>
      </c>
      <c r="E470" s="19" t="str">
        <f>INDEX(메뉴구조!$E$5:$E$300,MATCH($A470,메뉴구조!$A$5:$A$300,0))&amp;""</f>
        <v>—</v>
      </c>
      <c r="F470" s="9" t="str">
        <f>INDEX(메뉴구조!$G$5:$G$300,MATCH($A470,메뉴구조!$A$5:$A$300,0))&amp;""</f>
        <v>MY / 내 자산 / 거래 한도</v>
      </c>
      <c r="G470" s="18">
        <v>1</v>
      </c>
      <c r="H470" s="31" t="s">
        <v>1642</v>
      </c>
      <c r="I470" s="31" t="s">
        <v>1643</v>
      </c>
      <c r="J470" s="9"/>
      <c r="K470" s="20" t="s">
        <v>9</v>
      </c>
      <c r="L470" s="9" t="s">
        <v>1644</v>
      </c>
      <c r="M470" s="9" t="s">
        <v>1645</v>
      </c>
    </row>
    <row r="471" spans="1:13" ht="25">
      <c r="A471" s="18" t="s">
        <v>374</v>
      </c>
      <c r="B471" s="19" t="str">
        <f>INDEX(메뉴구조!$B$5:$B$300,MATCH($A471,메뉴구조!$A$5:$A$300,0))&amp;""</f>
        <v>MY</v>
      </c>
      <c r="C471" s="19" t="str">
        <f>INDEX(메뉴구조!$C$5:$C$300,MATCH($A471,메뉴구조!$A$5:$A$300,0))&amp;""</f>
        <v>내 자산</v>
      </c>
      <c r="D471" s="19" t="str">
        <f>INDEX(메뉴구조!$D$5:$D$300,MATCH($A471,메뉴구조!$A$5:$A$300,0))&amp;""</f>
        <v>거래 한도</v>
      </c>
      <c r="E471" s="19" t="str">
        <f>INDEX(메뉴구조!$E$5:$E$300,MATCH($A471,메뉴구조!$A$5:$A$300,0))&amp;""</f>
        <v>—</v>
      </c>
      <c r="F471" s="9" t="str">
        <f>INDEX(메뉴구조!$G$5:$G$300,MATCH($A471,메뉴구조!$A$5:$A$300,0))&amp;""</f>
        <v>MY / 내 자산 / 거래 한도</v>
      </c>
      <c r="G471" s="18">
        <v>2</v>
      </c>
      <c r="H471" s="9" t="s">
        <v>1646</v>
      </c>
      <c r="I471" s="9" t="s">
        <v>1647</v>
      </c>
      <c r="J471" s="9"/>
      <c r="K471" s="30" t="s">
        <v>11</v>
      </c>
      <c r="L471" s="9" t="s">
        <v>1474</v>
      </c>
      <c r="M471" s="9"/>
    </row>
    <row r="472" spans="1:13" ht="75">
      <c r="A472" s="18" t="s">
        <v>374</v>
      </c>
      <c r="B472" s="19" t="str">
        <f>INDEX(메뉴구조!$B$5:$B$300,MATCH($A472,메뉴구조!$A$5:$A$300,0))&amp;""</f>
        <v>MY</v>
      </c>
      <c r="C472" s="19" t="str">
        <f>INDEX(메뉴구조!$C$5:$C$300,MATCH($A472,메뉴구조!$A$5:$A$300,0))&amp;""</f>
        <v>내 자산</v>
      </c>
      <c r="D472" s="19" t="str">
        <f>INDEX(메뉴구조!$D$5:$D$300,MATCH($A472,메뉴구조!$A$5:$A$300,0))&amp;""</f>
        <v>거래 한도</v>
      </c>
      <c r="E472" s="19" t="str">
        <f>INDEX(메뉴구조!$E$5:$E$300,MATCH($A472,메뉴구조!$A$5:$A$300,0))&amp;""</f>
        <v>—</v>
      </c>
      <c r="F472" s="9" t="str">
        <f>INDEX(메뉴구조!$G$5:$G$300,MATCH($A472,메뉴구조!$A$5:$A$300,0))&amp;""</f>
        <v>MY / 내 자산 / 거래 한도</v>
      </c>
      <c r="G472" s="18">
        <v>3</v>
      </c>
      <c r="H472" s="9" t="s">
        <v>1648</v>
      </c>
      <c r="I472" s="9" t="s">
        <v>1649</v>
      </c>
      <c r="J472" s="9" t="s">
        <v>1650</v>
      </c>
      <c r="K472" s="30" t="s">
        <v>11</v>
      </c>
      <c r="L472" s="9" t="s">
        <v>1474</v>
      </c>
      <c r="M472" s="9"/>
    </row>
    <row r="473" spans="1:13" ht="62.5">
      <c r="A473" s="18" t="s">
        <v>374</v>
      </c>
      <c r="B473" s="19" t="str">
        <f>INDEX(메뉴구조!$B$5:$B$300,MATCH($A473,메뉴구조!$A$5:$A$300,0))&amp;""</f>
        <v>MY</v>
      </c>
      <c r="C473" s="19" t="str">
        <f>INDEX(메뉴구조!$C$5:$C$300,MATCH($A473,메뉴구조!$A$5:$A$300,0))&amp;""</f>
        <v>내 자산</v>
      </c>
      <c r="D473" s="19" t="str">
        <f>INDEX(메뉴구조!$D$5:$D$300,MATCH($A473,메뉴구조!$A$5:$A$300,0))&amp;""</f>
        <v>거래 한도</v>
      </c>
      <c r="E473" s="19" t="str">
        <f>INDEX(메뉴구조!$E$5:$E$300,MATCH($A473,메뉴구조!$A$5:$A$300,0))&amp;""</f>
        <v>—</v>
      </c>
      <c r="F473" s="9" t="str">
        <f>INDEX(메뉴구조!$G$5:$G$300,MATCH($A473,메뉴구조!$A$5:$A$300,0))&amp;""</f>
        <v>MY / 내 자산 / 거래 한도</v>
      </c>
      <c r="G473" s="18">
        <v>4</v>
      </c>
      <c r="H473" s="9" t="s">
        <v>1651</v>
      </c>
      <c r="I473" s="9" t="s">
        <v>1652</v>
      </c>
      <c r="J473" s="9" t="s">
        <v>1653</v>
      </c>
      <c r="K473" s="30" t="s">
        <v>11</v>
      </c>
      <c r="L473" s="9" t="s">
        <v>1474</v>
      </c>
      <c r="M473" s="9"/>
    </row>
    <row r="474" spans="1:13" ht="62.5">
      <c r="A474" s="18" t="s">
        <v>374</v>
      </c>
      <c r="B474" s="19" t="str">
        <f>INDEX(메뉴구조!$B$5:$B$300,MATCH($A474,메뉴구조!$A$5:$A$300,0))&amp;""</f>
        <v>MY</v>
      </c>
      <c r="C474" s="19" t="str">
        <f>INDEX(메뉴구조!$C$5:$C$300,MATCH($A474,메뉴구조!$A$5:$A$300,0))&amp;""</f>
        <v>내 자산</v>
      </c>
      <c r="D474" s="19" t="str">
        <f>INDEX(메뉴구조!$D$5:$D$300,MATCH($A474,메뉴구조!$A$5:$A$300,0))&amp;""</f>
        <v>거래 한도</v>
      </c>
      <c r="E474" s="19" t="str">
        <f>INDEX(메뉴구조!$E$5:$E$300,MATCH($A474,메뉴구조!$A$5:$A$300,0))&amp;""</f>
        <v>—</v>
      </c>
      <c r="F474" s="9" t="str">
        <f>INDEX(메뉴구조!$G$5:$G$300,MATCH($A474,메뉴구조!$A$5:$A$300,0))&amp;""</f>
        <v>MY / 내 자산 / 거래 한도</v>
      </c>
      <c r="G474" s="18">
        <v>5</v>
      </c>
      <c r="H474" s="9" t="s">
        <v>1654</v>
      </c>
      <c r="I474" s="9" t="s">
        <v>1655</v>
      </c>
      <c r="J474" s="9" t="s">
        <v>1656</v>
      </c>
      <c r="K474" s="30" t="s">
        <v>11</v>
      </c>
      <c r="L474" s="9" t="s">
        <v>1474</v>
      </c>
      <c r="M474" s="9"/>
    </row>
    <row r="475" spans="1:13" ht="37.5">
      <c r="A475" s="18" t="s">
        <v>374</v>
      </c>
      <c r="B475" s="19" t="str">
        <f>INDEX(메뉴구조!$B$5:$B$300,MATCH($A475,메뉴구조!$A$5:$A$300,0))&amp;""</f>
        <v>MY</v>
      </c>
      <c r="C475" s="19" t="str">
        <f>INDEX(메뉴구조!$C$5:$C$300,MATCH($A475,메뉴구조!$A$5:$A$300,0))&amp;""</f>
        <v>내 자산</v>
      </c>
      <c r="D475" s="19" t="str">
        <f>INDEX(메뉴구조!$D$5:$D$300,MATCH($A475,메뉴구조!$A$5:$A$300,0))&amp;""</f>
        <v>거래 한도</v>
      </c>
      <c r="E475" s="19" t="str">
        <f>INDEX(메뉴구조!$E$5:$E$300,MATCH($A475,메뉴구조!$A$5:$A$300,0))&amp;""</f>
        <v>—</v>
      </c>
      <c r="F475" s="9" t="str">
        <f>INDEX(메뉴구조!$G$5:$G$300,MATCH($A475,메뉴구조!$A$5:$A$300,0))&amp;""</f>
        <v>MY / 내 자산 / 거래 한도</v>
      </c>
      <c r="G475" s="18">
        <v>6</v>
      </c>
      <c r="H475" s="31" t="s">
        <v>675</v>
      </c>
      <c r="I475" s="31" t="s">
        <v>1657</v>
      </c>
      <c r="J475" s="9"/>
      <c r="K475" s="20" t="s">
        <v>9</v>
      </c>
      <c r="L475" s="9" t="s">
        <v>1658</v>
      </c>
      <c r="M475" s="9" t="s">
        <v>1659</v>
      </c>
    </row>
    <row r="476" spans="1:13" ht="62.5">
      <c r="A476" s="18" t="s">
        <v>374</v>
      </c>
      <c r="B476" s="19" t="str">
        <f>INDEX(메뉴구조!$B$5:$B$300,MATCH($A476,메뉴구조!$A$5:$A$300,0))&amp;""</f>
        <v>MY</v>
      </c>
      <c r="C476" s="19" t="str">
        <f>INDEX(메뉴구조!$C$5:$C$300,MATCH($A476,메뉴구조!$A$5:$A$300,0))&amp;""</f>
        <v>내 자산</v>
      </c>
      <c r="D476" s="19" t="str">
        <f>INDEX(메뉴구조!$D$5:$D$300,MATCH($A476,메뉴구조!$A$5:$A$300,0))&amp;""</f>
        <v>거래 한도</v>
      </c>
      <c r="E476" s="19" t="str">
        <f>INDEX(메뉴구조!$E$5:$E$300,MATCH($A476,메뉴구조!$A$5:$A$300,0))&amp;""</f>
        <v>—</v>
      </c>
      <c r="F476" s="9" t="str">
        <f>INDEX(메뉴구조!$G$5:$G$300,MATCH($A476,메뉴구조!$A$5:$A$300,0))&amp;""</f>
        <v>MY / 내 자산 / 거래 한도</v>
      </c>
      <c r="G476" s="18">
        <v>7</v>
      </c>
      <c r="H476" s="28" t="s">
        <v>1660</v>
      </c>
      <c r="I476" s="28" t="s">
        <v>1661</v>
      </c>
      <c r="J476" s="28" t="s">
        <v>1662</v>
      </c>
      <c r="K476" s="18" t="s">
        <v>15</v>
      </c>
      <c r="L476" s="9" t="s">
        <v>1549</v>
      </c>
      <c r="M476" s="9"/>
    </row>
    <row r="477" spans="1:13" ht="50">
      <c r="A477" s="18" t="s">
        <v>374</v>
      </c>
      <c r="B477" s="19" t="str">
        <f>INDEX(메뉴구조!$B$5:$B$300,MATCH($A477,메뉴구조!$A$5:$A$300,0))&amp;""</f>
        <v>MY</v>
      </c>
      <c r="C477" s="19" t="str">
        <f>INDEX(메뉴구조!$C$5:$C$300,MATCH($A477,메뉴구조!$A$5:$A$300,0))&amp;""</f>
        <v>내 자산</v>
      </c>
      <c r="D477" s="19" t="str">
        <f>INDEX(메뉴구조!$D$5:$D$300,MATCH($A477,메뉴구조!$A$5:$A$300,0))&amp;""</f>
        <v>거래 한도</v>
      </c>
      <c r="E477" s="19" t="str">
        <f>INDEX(메뉴구조!$E$5:$E$300,MATCH($A477,메뉴구조!$A$5:$A$300,0))&amp;""</f>
        <v>—</v>
      </c>
      <c r="F477" s="9" t="str">
        <f>INDEX(메뉴구조!$G$5:$G$300,MATCH($A477,메뉴구조!$A$5:$A$300,0))&amp;""</f>
        <v>MY / 내 자산 / 거래 한도</v>
      </c>
      <c r="G477" s="18">
        <v>8</v>
      </c>
      <c r="H477" s="28" t="s">
        <v>1625</v>
      </c>
      <c r="I477" s="28" t="s">
        <v>1663</v>
      </c>
      <c r="J477" s="28"/>
      <c r="K477" s="18" t="s">
        <v>15</v>
      </c>
      <c r="L477" s="9" t="s">
        <v>1549</v>
      </c>
      <c r="M477" s="9"/>
    </row>
    <row r="478" spans="1:13" ht="50">
      <c r="A478" s="18" t="s">
        <v>374</v>
      </c>
      <c r="B478" s="19" t="str">
        <f>INDEX(메뉴구조!$B$5:$B$300,MATCH($A478,메뉴구조!$A$5:$A$300,0))&amp;""</f>
        <v>MY</v>
      </c>
      <c r="C478" s="19" t="str">
        <f>INDEX(메뉴구조!$C$5:$C$300,MATCH($A478,메뉴구조!$A$5:$A$300,0))&amp;""</f>
        <v>내 자산</v>
      </c>
      <c r="D478" s="19" t="str">
        <f>INDEX(메뉴구조!$D$5:$D$300,MATCH($A478,메뉴구조!$A$5:$A$300,0))&amp;""</f>
        <v>거래 한도</v>
      </c>
      <c r="E478" s="19" t="str">
        <f>INDEX(메뉴구조!$E$5:$E$300,MATCH($A478,메뉴구조!$A$5:$A$300,0))&amp;""</f>
        <v>—</v>
      </c>
      <c r="F478" s="9" t="str">
        <f>INDEX(메뉴구조!$G$5:$G$300,MATCH($A478,메뉴구조!$A$5:$A$300,0))&amp;""</f>
        <v>MY / 내 자산 / 거래 한도</v>
      </c>
      <c r="G478" s="18">
        <v>9</v>
      </c>
      <c r="H478" s="28" t="s">
        <v>1664</v>
      </c>
      <c r="I478" s="28" t="s">
        <v>1665</v>
      </c>
      <c r="J478" s="28" t="s">
        <v>1666</v>
      </c>
      <c r="K478" s="18" t="s">
        <v>15</v>
      </c>
      <c r="L478" s="9" t="s">
        <v>1549</v>
      </c>
      <c r="M478" s="9"/>
    </row>
    <row r="479" spans="1:13" ht="50">
      <c r="A479" s="18" t="s">
        <v>374</v>
      </c>
      <c r="B479" s="19" t="str">
        <f>INDEX(메뉴구조!$B$5:$B$300,MATCH($A479,메뉴구조!$A$5:$A$300,0))&amp;""</f>
        <v>MY</v>
      </c>
      <c r="C479" s="19" t="str">
        <f>INDEX(메뉴구조!$C$5:$C$300,MATCH($A479,메뉴구조!$A$5:$A$300,0))&amp;""</f>
        <v>내 자산</v>
      </c>
      <c r="D479" s="19" t="str">
        <f>INDEX(메뉴구조!$D$5:$D$300,MATCH($A479,메뉴구조!$A$5:$A$300,0))&amp;""</f>
        <v>거래 한도</v>
      </c>
      <c r="E479" s="19" t="str">
        <f>INDEX(메뉴구조!$E$5:$E$300,MATCH($A479,메뉴구조!$A$5:$A$300,0))&amp;""</f>
        <v>—</v>
      </c>
      <c r="F479" s="9" t="str">
        <f>INDEX(메뉴구조!$G$5:$G$300,MATCH($A479,메뉴구조!$A$5:$A$300,0))&amp;""</f>
        <v>MY / 내 자산 / 거래 한도</v>
      </c>
      <c r="G479" s="18">
        <v>10</v>
      </c>
      <c r="H479" s="28" t="s">
        <v>1667</v>
      </c>
      <c r="I479" s="28" t="s">
        <v>1668</v>
      </c>
      <c r="J479" s="28" t="s">
        <v>1669</v>
      </c>
      <c r="K479" s="18" t="s">
        <v>15</v>
      </c>
      <c r="L479" s="9" t="s">
        <v>1553</v>
      </c>
      <c r="M479" s="9"/>
    </row>
    <row r="480" spans="1:13" ht="37.5">
      <c r="A480" s="18" t="s">
        <v>374</v>
      </c>
      <c r="B480" s="19" t="str">
        <f>INDEX(메뉴구조!$B$5:$B$300,MATCH($A480,메뉴구조!$A$5:$A$300,0))&amp;""</f>
        <v>MY</v>
      </c>
      <c r="C480" s="19" t="str">
        <f>INDEX(메뉴구조!$C$5:$C$300,MATCH($A480,메뉴구조!$A$5:$A$300,0))&amp;""</f>
        <v>내 자산</v>
      </c>
      <c r="D480" s="19" t="str">
        <f>INDEX(메뉴구조!$D$5:$D$300,MATCH($A480,메뉴구조!$A$5:$A$300,0))&amp;""</f>
        <v>거래 한도</v>
      </c>
      <c r="E480" s="19" t="str">
        <f>INDEX(메뉴구조!$E$5:$E$300,MATCH($A480,메뉴구조!$A$5:$A$300,0))&amp;""</f>
        <v>—</v>
      </c>
      <c r="F480" s="9" t="str">
        <f>INDEX(메뉴구조!$G$5:$G$300,MATCH($A480,메뉴구조!$A$5:$A$300,0))&amp;""</f>
        <v>MY / 내 자산 / 거래 한도</v>
      </c>
      <c r="G480" s="18">
        <v>11</v>
      </c>
      <c r="H480" s="28" t="s">
        <v>1670</v>
      </c>
      <c r="I480" s="28" t="s">
        <v>1671</v>
      </c>
      <c r="J480" s="28"/>
      <c r="K480" s="18" t="s">
        <v>15</v>
      </c>
      <c r="L480" s="9" t="s">
        <v>1672</v>
      </c>
      <c r="M480" s="9"/>
    </row>
    <row r="481" spans="1:13" ht="50">
      <c r="A481" s="18" t="s">
        <v>374</v>
      </c>
      <c r="B481" s="19" t="str">
        <f>INDEX(메뉴구조!$B$5:$B$300,MATCH($A481,메뉴구조!$A$5:$A$300,0))&amp;""</f>
        <v>MY</v>
      </c>
      <c r="C481" s="19" t="str">
        <f>INDEX(메뉴구조!$C$5:$C$300,MATCH($A481,메뉴구조!$A$5:$A$300,0))&amp;""</f>
        <v>내 자산</v>
      </c>
      <c r="D481" s="19" t="str">
        <f>INDEX(메뉴구조!$D$5:$D$300,MATCH($A481,메뉴구조!$A$5:$A$300,0))&amp;""</f>
        <v>거래 한도</v>
      </c>
      <c r="E481" s="19" t="str">
        <f>INDEX(메뉴구조!$E$5:$E$300,MATCH($A481,메뉴구조!$A$5:$A$300,0))&amp;""</f>
        <v>—</v>
      </c>
      <c r="F481" s="9" t="str">
        <f>INDEX(메뉴구조!$G$5:$G$300,MATCH($A481,메뉴구조!$A$5:$A$300,0))&amp;""</f>
        <v>MY / 내 자산 / 거래 한도</v>
      </c>
      <c r="G481" s="18">
        <v>12</v>
      </c>
      <c r="H481" s="28" t="s">
        <v>1673</v>
      </c>
      <c r="I481" s="28" t="s">
        <v>1674</v>
      </c>
      <c r="J481" s="28" t="s">
        <v>1675</v>
      </c>
      <c r="K481" s="18" t="s">
        <v>15</v>
      </c>
      <c r="L481" s="9" t="s">
        <v>1559</v>
      </c>
      <c r="M481" s="9"/>
    </row>
    <row r="482" spans="1:13" ht="50">
      <c r="A482" s="18" t="s">
        <v>374</v>
      </c>
      <c r="B482" s="19" t="str">
        <f>INDEX(메뉴구조!$B$5:$B$300,MATCH($A482,메뉴구조!$A$5:$A$300,0))&amp;""</f>
        <v>MY</v>
      </c>
      <c r="C482" s="19" t="str">
        <f>INDEX(메뉴구조!$C$5:$C$300,MATCH($A482,메뉴구조!$A$5:$A$300,0))&amp;""</f>
        <v>내 자산</v>
      </c>
      <c r="D482" s="19" t="str">
        <f>INDEX(메뉴구조!$D$5:$D$300,MATCH($A482,메뉴구조!$A$5:$A$300,0))&amp;""</f>
        <v>거래 한도</v>
      </c>
      <c r="E482" s="19" t="str">
        <f>INDEX(메뉴구조!$E$5:$E$300,MATCH($A482,메뉴구조!$A$5:$A$300,0))&amp;""</f>
        <v>—</v>
      </c>
      <c r="F482" s="9" t="str">
        <f>INDEX(메뉴구조!$G$5:$G$300,MATCH($A482,메뉴구조!$A$5:$A$300,0))&amp;""</f>
        <v>MY / 내 자산 / 거래 한도</v>
      </c>
      <c r="G482" s="18">
        <v>13</v>
      </c>
      <c r="H482" s="9" t="s">
        <v>1676</v>
      </c>
      <c r="I482" s="9" t="s">
        <v>1677</v>
      </c>
      <c r="J482" s="9" t="s">
        <v>1678</v>
      </c>
      <c r="K482" s="30" t="s">
        <v>11</v>
      </c>
      <c r="L482" s="9" t="s">
        <v>1474</v>
      </c>
      <c r="M482" s="9"/>
    </row>
    <row r="483" spans="1:13" ht="75">
      <c r="A483" s="18" t="s">
        <v>374</v>
      </c>
      <c r="B483" s="19" t="str">
        <f>INDEX(메뉴구조!$B$5:$B$300,MATCH($A483,메뉴구조!$A$5:$A$300,0))&amp;""</f>
        <v>MY</v>
      </c>
      <c r="C483" s="19" t="str">
        <f>INDEX(메뉴구조!$C$5:$C$300,MATCH($A483,메뉴구조!$A$5:$A$300,0))&amp;""</f>
        <v>내 자산</v>
      </c>
      <c r="D483" s="19" t="str">
        <f>INDEX(메뉴구조!$D$5:$D$300,MATCH($A483,메뉴구조!$A$5:$A$300,0))&amp;""</f>
        <v>거래 한도</v>
      </c>
      <c r="E483" s="19" t="str">
        <f>INDEX(메뉴구조!$E$5:$E$300,MATCH($A483,메뉴구조!$A$5:$A$300,0))&amp;""</f>
        <v>—</v>
      </c>
      <c r="F483" s="9" t="str">
        <f>INDEX(메뉴구조!$G$5:$G$300,MATCH($A483,메뉴구조!$A$5:$A$300,0))&amp;""</f>
        <v>MY / 내 자산 / 거래 한도</v>
      </c>
      <c r="G483" s="18">
        <v>14</v>
      </c>
      <c r="H483" s="9" t="s">
        <v>1679</v>
      </c>
      <c r="I483" s="9" t="s">
        <v>1680</v>
      </c>
      <c r="J483" s="9" t="s">
        <v>1681</v>
      </c>
      <c r="K483" s="30" t="s">
        <v>11</v>
      </c>
      <c r="L483" s="9" t="s">
        <v>1474</v>
      </c>
      <c r="M483" s="9"/>
    </row>
    <row r="484" spans="1:13" ht="62.5">
      <c r="A484" s="18" t="s">
        <v>374</v>
      </c>
      <c r="B484" s="19" t="str">
        <f>INDEX(메뉴구조!$B$5:$B$300,MATCH($A484,메뉴구조!$A$5:$A$300,0))&amp;""</f>
        <v>MY</v>
      </c>
      <c r="C484" s="19" t="str">
        <f>INDEX(메뉴구조!$C$5:$C$300,MATCH($A484,메뉴구조!$A$5:$A$300,0))&amp;""</f>
        <v>내 자산</v>
      </c>
      <c r="D484" s="19" t="str">
        <f>INDEX(메뉴구조!$D$5:$D$300,MATCH($A484,메뉴구조!$A$5:$A$300,0))&amp;""</f>
        <v>거래 한도</v>
      </c>
      <c r="E484" s="19" t="str">
        <f>INDEX(메뉴구조!$E$5:$E$300,MATCH($A484,메뉴구조!$A$5:$A$300,0))&amp;""</f>
        <v>—</v>
      </c>
      <c r="F484" s="9" t="str">
        <f>INDEX(메뉴구조!$G$5:$G$300,MATCH($A484,메뉴구조!$A$5:$A$300,0))&amp;""</f>
        <v>MY / 내 자산 / 거래 한도</v>
      </c>
      <c r="G484" s="18">
        <v>15</v>
      </c>
      <c r="H484" s="9" t="s">
        <v>1682</v>
      </c>
      <c r="I484" s="9" t="s">
        <v>1683</v>
      </c>
      <c r="J484" s="9" t="s">
        <v>1684</v>
      </c>
      <c r="K484" s="30" t="s">
        <v>11</v>
      </c>
      <c r="L484" s="9" t="s">
        <v>1474</v>
      </c>
      <c r="M484" s="9"/>
    </row>
    <row r="485" spans="1:13" ht="75">
      <c r="A485" s="18" t="s">
        <v>374</v>
      </c>
      <c r="B485" s="19" t="str">
        <f>INDEX(메뉴구조!$B$5:$B$300,MATCH($A485,메뉴구조!$A$5:$A$300,0))&amp;""</f>
        <v>MY</v>
      </c>
      <c r="C485" s="19" t="str">
        <f>INDEX(메뉴구조!$C$5:$C$300,MATCH($A485,메뉴구조!$A$5:$A$300,0))&amp;""</f>
        <v>내 자산</v>
      </c>
      <c r="D485" s="19" t="str">
        <f>INDEX(메뉴구조!$D$5:$D$300,MATCH($A485,메뉴구조!$A$5:$A$300,0))&amp;""</f>
        <v>거래 한도</v>
      </c>
      <c r="E485" s="19" t="str">
        <f>INDEX(메뉴구조!$E$5:$E$300,MATCH($A485,메뉴구조!$A$5:$A$300,0))&amp;""</f>
        <v>—</v>
      </c>
      <c r="F485" s="9" t="str">
        <f>INDEX(메뉴구조!$G$5:$G$300,MATCH($A485,메뉴구조!$A$5:$A$300,0))&amp;""</f>
        <v>MY / 내 자산 / 거래 한도</v>
      </c>
      <c r="G485" s="18">
        <v>16</v>
      </c>
      <c r="H485" s="9" t="s">
        <v>1685</v>
      </c>
      <c r="I485" s="9" t="s">
        <v>1686</v>
      </c>
      <c r="J485" s="9" t="s">
        <v>1687</v>
      </c>
      <c r="K485" s="30" t="s">
        <v>11</v>
      </c>
      <c r="L485" s="9" t="s">
        <v>1474</v>
      </c>
      <c r="M485" s="9"/>
    </row>
    <row r="486" spans="1:13" ht="50">
      <c r="A486" s="18" t="s">
        <v>374</v>
      </c>
      <c r="B486" s="19" t="str">
        <f>INDEX(메뉴구조!$B$5:$B$300,MATCH($A486,메뉴구조!$A$5:$A$300,0))&amp;""</f>
        <v>MY</v>
      </c>
      <c r="C486" s="19" t="str">
        <f>INDEX(메뉴구조!$C$5:$C$300,MATCH($A486,메뉴구조!$A$5:$A$300,0))&amp;""</f>
        <v>내 자산</v>
      </c>
      <c r="D486" s="19" t="str">
        <f>INDEX(메뉴구조!$D$5:$D$300,MATCH($A486,메뉴구조!$A$5:$A$300,0))&amp;""</f>
        <v>거래 한도</v>
      </c>
      <c r="E486" s="19" t="str">
        <f>INDEX(메뉴구조!$E$5:$E$300,MATCH($A486,메뉴구조!$A$5:$A$300,0))&amp;""</f>
        <v>—</v>
      </c>
      <c r="F486" s="9" t="str">
        <f>INDEX(메뉴구조!$G$5:$G$300,MATCH($A486,메뉴구조!$A$5:$A$300,0))&amp;""</f>
        <v>MY / 내 자산 / 거래 한도</v>
      </c>
      <c r="G486" s="18">
        <v>17</v>
      </c>
      <c r="H486" s="9" t="s">
        <v>1688</v>
      </c>
      <c r="I486" s="9" t="s">
        <v>1689</v>
      </c>
      <c r="J486" s="9" t="s">
        <v>1690</v>
      </c>
      <c r="K486" s="30" t="s">
        <v>11</v>
      </c>
      <c r="L486" s="9" t="s">
        <v>1474</v>
      </c>
      <c r="M486" s="9"/>
    </row>
    <row r="487" spans="1:13" ht="50">
      <c r="A487" s="18" t="s">
        <v>374</v>
      </c>
      <c r="B487" s="19" t="str">
        <f>INDEX(메뉴구조!$B$5:$B$300,MATCH($A487,메뉴구조!$A$5:$A$300,0))&amp;""</f>
        <v>MY</v>
      </c>
      <c r="C487" s="19" t="str">
        <f>INDEX(메뉴구조!$C$5:$C$300,MATCH($A487,메뉴구조!$A$5:$A$300,0))&amp;""</f>
        <v>내 자산</v>
      </c>
      <c r="D487" s="19" t="str">
        <f>INDEX(메뉴구조!$D$5:$D$300,MATCH($A487,메뉴구조!$A$5:$A$300,0))&amp;""</f>
        <v>거래 한도</v>
      </c>
      <c r="E487" s="19" t="str">
        <f>INDEX(메뉴구조!$E$5:$E$300,MATCH($A487,메뉴구조!$A$5:$A$300,0))&amp;""</f>
        <v>—</v>
      </c>
      <c r="F487" s="9" t="str">
        <f>INDEX(메뉴구조!$G$5:$G$300,MATCH($A487,메뉴구조!$A$5:$A$300,0))&amp;""</f>
        <v>MY / 내 자산 / 거래 한도</v>
      </c>
      <c r="G487" s="18">
        <v>18</v>
      </c>
      <c r="H487" s="32" t="s">
        <v>1691</v>
      </c>
      <c r="I487" s="32" t="s">
        <v>1692</v>
      </c>
      <c r="J487" s="32" t="s">
        <v>1693</v>
      </c>
      <c r="K487" s="23" t="s">
        <v>7</v>
      </c>
      <c r="L487" s="9" t="s">
        <v>1694</v>
      </c>
      <c r="M487" s="9"/>
    </row>
    <row r="488" spans="1:13" ht="62.5">
      <c r="A488" s="18" t="s">
        <v>379</v>
      </c>
      <c r="B488" s="19" t="str">
        <f>INDEX(메뉴구조!$B$5:$B$300,MATCH($A488,메뉴구조!$A$5:$A$300,0))&amp;""</f>
        <v>MY</v>
      </c>
      <c r="C488" s="19" t="str">
        <f>INDEX(메뉴구조!$C$5:$C$300,MATCH($A488,메뉴구조!$A$5:$A$300,0))&amp;""</f>
        <v>관심</v>
      </c>
      <c r="D488" s="19" t="str">
        <f>INDEX(메뉴구조!$D$5:$D$300,MATCH($A488,메뉴구조!$A$5:$A$300,0))&amp;""</f>
        <v>관심종목</v>
      </c>
      <c r="E488" s="19" t="str">
        <f>INDEX(메뉴구조!$E$5:$E$300,MATCH($A488,메뉴구조!$A$5:$A$300,0))&amp;""</f>
        <v>—</v>
      </c>
      <c r="F488" s="9" t="str">
        <f>INDEX(메뉴구조!$G$5:$G$300,MATCH($A488,메뉴구조!$A$5:$A$300,0))&amp;""</f>
        <v>MY / 관심 / 관심종목</v>
      </c>
      <c r="G488" s="18">
        <v>1</v>
      </c>
      <c r="H488" s="31" t="s">
        <v>1695</v>
      </c>
      <c r="I488" s="31" t="s">
        <v>1696</v>
      </c>
      <c r="J488" s="9"/>
      <c r="K488" s="20" t="s">
        <v>9</v>
      </c>
      <c r="L488" s="9" t="s">
        <v>1697</v>
      </c>
      <c r="M488" s="9" t="s">
        <v>1698</v>
      </c>
    </row>
    <row r="489" spans="1:13" ht="37.5">
      <c r="A489" s="18" t="s">
        <v>379</v>
      </c>
      <c r="B489" s="19" t="str">
        <f>INDEX(메뉴구조!$B$5:$B$300,MATCH($A489,메뉴구조!$A$5:$A$300,0))&amp;""</f>
        <v>MY</v>
      </c>
      <c r="C489" s="19" t="str">
        <f>INDEX(메뉴구조!$C$5:$C$300,MATCH($A489,메뉴구조!$A$5:$A$300,0))&amp;""</f>
        <v>관심</v>
      </c>
      <c r="D489" s="19" t="str">
        <f>INDEX(메뉴구조!$D$5:$D$300,MATCH($A489,메뉴구조!$A$5:$A$300,0))&amp;""</f>
        <v>관심종목</v>
      </c>
      <c r="E489" s="19" t="str">
        <f>INDEX(메뉴구조!$E$5:$E$300,MATCH($A489,메뉴구조!$A$5:$A$300,0))&amp;""</f>
        <v>—</v>
      </c>
      <c r="F489" s="9" t="str">
        <f>INDEX(메뉴구조!$G$5:$G$300,MATCH($A489,메뉴구조!$A$5:$A$300,0))&amp;""</f>
        <v>MY / 관심 / 관심종목</v>
      </c>
      <c r="G489" s="18">
        <v>2</v>
      </c>
      <c r="H489" s="9" t="s">
        <v>1699</v>
      </c>
      <c r="I489" s="9" t="s">
        <v>1700</v>
      </c>
      <c r="J489" s="9"/>
      <c r="K489" s="30" t="s">
        <v>11</v>
      </c>
      <c r="L489" s="9" t="s">
        <v>1474</v>
      </c>
      <c r="M489" s="9"/>
    </row>
    <row r="490" spans="1:13" ht="25">
      <c r="A490" s="18" t="s">
        <v>379</v>
      </c>
      <c r="B490" s="19" t="str">
        <f>INDEX(메뉴구조!$B$5:$B$300,MATCH($A490,메뉴구조!$A$5:$A$300,0))&amp;""</f>
        <v>MY</v>
      </c>
      <c r="C490" s="19" t="str">
        <f>INDEX(메뉴구조!$C$5:$C$300,MATCH($A490,메뉴구조!$A$5:$A$300,0))&amp;""</f>
        <v>관심</v>
      </c>
      <c r="D490" s="19" t="str">
        <f>INDEX(메뉴구조!$D$5:$D$300,MATCH($A490,메뉴구조!$A$5:$A$300,0))&amp;""</f>
        <v>관심종목</v>
      </c>
      <c r="E490" s="19" t="str">
        <f>INDEX(메뉴구조!$E$5:$E$300,MATCH($A490,메뉴구조!$A$5:$A$300,0))&amp;""</f>
        <v>—</v>
      </c>
      <c r="F490" s="9" t="str">
        <f>INDEX(메뉴구조!$G$5:$G$300,MATCH($A490,메뉴구조!$A$5:$A$300,0))&amp;""</f>
        <v>MY / 관심 / 관심종목</v>
      </c>
      <c r="G490" s="18">
        <v>3</v>
      </c>
      <c r="H490" s="9" t="s">
        <v>781</v>
      </c>
      <c r="I490" s="9" t="s">
        <v>1701</v>
      </c>
      <c r="J490" s="9"/>
      <c r="K490" s="30" t="s">
        <v>11</v>
      </c>
      <c r="L490" s="9" t="s">
        <v>1474</v>
      </c>
      <c r="M490" s="9"/>
    </row>
    <row r="491" spans="1:13" ht="37.5">
      <c r="A491" s="18" t="s">
        <v>379</v>
      </c>
      <c r="B491" s="19" t="str">
        <f>INDEX(메뉴구조!$B$5:$B$300,MATCH($A491,메뉴구조!$A$5:$A$300,0))&amp;""</f>
        <v>MY</v>
      </c>
      <c r="C491" s="19" t="str">
        <f>INDEX(메뉴구조!$C$5:$C$300,MATCH($A491,메뉴구조!$A$5:$A$300,0))&amp;""</f>
        <v>관심</v>
      </c>
      <c r="D491" s="19" t="str">
        <f>INDEX(메뉴구조!$D$5:$D$300,MATCH($A491,메뉴구조!$A$5:$A$300,0))&amp;""</f>
        <v>관심종목</v>
      </c>
      <c r="E491" s="19" t="str">
        <f>INDEX(메뉴구조!$E$5:$E$300,MATCH($A491,메뉴구조!$A$5:$A$300,0))&amp;""</f>
        <v>—</v>
      </c>
      <c r="F491" s="9" t="str">
        <f>INDEX(메뉴구조!$G$5:$G$300,MATCH($A491,메뉴구조!$A$5:$A$300,0))&amp;""</f>
        <v>MY / 관심 / 관심종목</v>
      </c>
      <c r="G491" s="18">
        <v>4</v>
      </c>
      <c r="H491" s="9" t="s">
        <v>1702</v>
      </c>
      <c r="I491" s="9" t="s">
        <v>1703</v>
      </c>
      <c r="J491" s="9"/>
      <c r="K491" s="30" t="s">
        <v>11</v>
      </c>
      <c r="L491" s="9" t="s">
        <v>1474</v>
      </c>
      <c r="M491" s="9"/>
    </row>
    <row r="492" spans="1:13" ht="62.5">
      <c r="A492" s="18" t="s">
        <v>379</v>
      </c>
      <c r="B492" s="19" t="str">
        <f>INDEX(메뉴구조!$B$5:$B$300,MATCH($A492,메뉴구조!$A$5:$A$300,0))&amp;""</f>
        <v>MY</v>
      </c>
      <c r="C492" s="19" t="str">
        <f>INDEX(메뉴구조!$C$5:$C$300,MATCH($A492,메뉴구조!$A$5:$A$300,0))&amp;""</f>
        <v>관심</v>
      </c>
      <c r="D492" s="19" t="str">
        <f>INDEX(메뉴구조!$D$5:$D$300,MATCH($A492,메뉴구조!$A$5:$A$300,0))&amp;""</f>
        <v>관심종목</v>
      </c>
      <c r="E492" s="19" t="str">
        <f>INDEX(메뉴구조!$E$5:$E$300,MATCH($A492,메뉴구조!$A$5:$A$300,0))&amp;""</f>
        <v>—</v>
      </c>
      <c r="F492" s="9" t="str">
        <f>INDEX(메뉴구조!$G$5:$G$300,MATCH($A492,메뉴구조!$A$5:$A$300,0))&amp;""</f>
        <v>MY / 관심 / 관심종목</v>
      </c>
      <c r="G492" s="18">
        <v>5</v>
      </c>
      <c r="H492" s="9" t="s">
        <v>1704</v>
      </c>
      <c r="I492" s="9" t="s">
        <v>1705</v>
      </c>
      <c r="J492" s="9"/>
      <c r="K492" s="30" t="s">
        <v>11</v>
      </c>
      <c r="L492" s="9" t="s">
        <v>1474</v>
      </c>
      <c r="M492" s="9"/>
    </row>
    <row r="493" spans="1:13" ht="100">
      <c r="A493" s="18" t="s">
        <v>379</v>
      </c>
      <c r="B493" s="19" t="str">
        <f>INDEX(메뉴구조!$B$5:$B$300,MATCH($A493,메뉴구조!$A$5:$A$300,0))&amp;""</f>
        <v>MY</v>
      </c>
      <c r="C493" s="19" t="str">
        <f>INDEX(메뉴구조!$C$5:$C$300,MATCH($A493,메뉴구조!$A$5:$A$300,0))&amp;""</f>
        <v>관심</v>
      </c>
      <c r="D493" s="19" t="str">
        <f>INDEX(메뉴구조!$D$5:$D$300,MATCH($A493,메뉴구조!$A$5:$A$300,0))&amp;""</f>
        <v>관심종목</v>
      </c>
      <c r="E493" s="19" t="str">
        <f>INDEX(메뉴구조!$E$5:$E$300,MATCH($A493,메뉴구조!$A$5:$A$300,0))&amp;""</f>
        <v>—</v>
      </c>
      <c r="F493" s="9" t="str">
        <f>INDEX(메뉴구조!$G$5:$G$300,MATCH($A493,메뉴구조!$A$5:$A$300,0))&amp;""</f>
        <v>MY / 관심 / 관심종목</v>
      </c>
      <c r="G493" s="18">
        <v>6</v>
      </c>
      <c r="H493" s="31" t="s">
        <v>1706</v>
      </c>
      <c r="I493" s="31" t="s">
        <v>1707</v>
      </c>
      <c r="J493" s="9"/>
      <c r="K493" s="20" t="s">
        <v>9</v>
      </c>
      <c r="L493" s="9" t="s">
        <v>1708</v>
      </c>
      <c r="M493" s="9" t="s">
        <v>1709</v>
      </c>
    </row>
    <row r="494" spans="1:13" ht="50">
      <c r="A494" s="18" t="s">
        <v>379</v>
      </c>
      <c r="B494" s="19" t="str">
        <f>INDEX(메뉴구조!$B$5:$B$300,MATCH($A494,메뉴구조!$A$5:$A$300,0))&amp;""</f>
        <v>MY</v>
      </c>
      <c r="C494" s="19" t="str">
        <f>INDEX(메뉴구조!$C$5:$C$300,MATCH($A494,메뉴구조!$A$5:$A$300,0))&amp;""</f>
        <v>관심</v>
      </c>
      <c r="D494" s="19" t="str">
        <f>INDEX(메뉴구조!$D$5:$D$300,MATCH($A494,메뉴구조!$A$5:$A$300,0))&amp;""</f>
        <v>관심종목</v>
      </c>
      <c r="E494" s="19" t="str">
        <f>INDEX(메뉴구조!$E$5:$E$300,MATCH($A494,메뉴구조!$A$5:$A$300,0))&amp;""</f>
        <v>—</v>
      </c>
      <c r="F494" s="9" t="str">
        <f>INDEX(메뉴구조!$G$5:$G$300,MATCH($A494,메뉴구조!$A$5:$A$300,0))&amp;""</f>
        <v>MY / 관심 / 관심종목</v>
      </c>
      <c r="G494" s="18">
        <v>7</v>
      </c>
      <c r="H494" s="9" t="s">
        <v>1710</v>
      </c>
      <c r="I494" s="9" t="s">
        <v>1711</v>
      </c>
      <c r="J494" s="9"/>
      <c r="K494" s="30" t="s">
        <v>11</v>
      </c>
      <c r="L494" s="9" t="s">
        <v>1474</v>
      </c>
      <c r="M494" s="9"/>
    </row>
    <row r="495" spans="1:13" ht="100">
      <c r="A495" s="18" t="s">
        <v>379</v>
      </c>
      <c r="B495" s="19" t="str">
        <f>INDEX(메뉴구조!$B$5:$B$300,MATCH($A495,메뉴구조!$A$5:$A$300,0))&amp;""</f>
        <v>MY</v>
      </c>
      <c r="C495" s="19" t="str">
        <f>INDEX(메뉴구조!$C$5:$C$300,MATCH($A495,메뉴구조!$A$5:$A$300,0))&amp;""</f>
        <v>관심</v>
      </c>
      <c r="D495" s="19" t="str">
        <f>INDEX(메뉴구조!$D$5:$D$300,MATCH($A495,메뉴구조!$A$5:$A$300,0))&amp;""</f>
        <v>관심종목</v>
      </c>
      <c r="E495" s="19" t="str">
        <f>INDEX(메뉴구조!$E$5:$E$300,MATCH($A495,메뉴구조!$A$5:$A$300,0))&amp;""</f>
        <v>—</v>
      </c>
      <c r="F495" s="9" t="str">
        <f>INDEX(메뉴구조!$G$5:$G$300,MATCH($A495,메뉴구조!$A$5:$A$300,0))&amp;""</f>
        <v>MY / 관심 / 관심종목</v>
      </c>
      <c r="G495" s="18">
        <v>8</v>
      </c>
      <c r="H495" s="9" t="s">
        <v>1712</v>
      </c>
      <c r="I495" s="9" t="s">
        <v>1713</v>
      </c>
      <c r="J495" s="9" t="s">
        <v>1714</v>
      </c>
      <c r="K495" s="30" t="s">
        <v>11</v>
      </c>
      <c r="L495" s="9" t="s">
        <v>1474</v>
      </c>
      <c r="M495" s="9"/>
    </row>
    <row r="496" spans="1:13" ht="112.5">
      <c r="A496" s="18" t="s">
        <v>379</v>
      </c>
      <c r="B496" s="19" t="str">
        <f>INDEX(메뉴구조!$B$5:$B$300,MATCH($A496,메뉴구조!$A$5:$A$300,0))&amp;""</f>
        <v>MY</v>
      </c>
      <c r="C496" s="19" t="str">
        <f>INDEX(메뉴구조!$C$5:$C$300,MATCH($A496,메뉴구조!$A$5:$A$300,0))&amp;""</f>
        <v>관심</v>
      </c>
      <c r="D496" s="19" t="str">
        <f>INDEX(메뉴구조!$D$5:$D$300,MATCH($A496,메뉴구조!$A$5:$A$300,0))&amp;""</f>
        <v>관심종목</v>
      </c>
      <c r="E496" s="19" t="str">
        <f>INDEX(메뉴구조!$E$5:$E$300,MATCH($A496,메뉴구조!$A$5:$A$300,0))&amp;""</f>
        <v>—</v>
      </c>
      <c r="F496" s="9" t="str">
        <f>INDEX(메뉴구조!$G$5:$G$300,MATCH($A496,메뉴구조!$A$5:$A$300,0))&amp;""</f>
        <v>MY / 관심 / 관심종목</v>
      </c>
      <c r="G496" s="18">
        <v>9</v>
      </c>
      <c r="H496" s="9" t="s">
        <v>814</v>
      </c>
      <c r="I496" s="9" t="s">
        <v>1715</v>
      </c>
      <c r="J496" s="9" t="s">
        <v>1716</v>
      </c>
      <c r="K496" s="30" t="s">
        <v>11</v>
      </c>
      <c r="L496" s="9" t="s">
        <v>1474</v>
      </c>
      <c r="M496" s="9"/>
    </row>
    <row r="497" spans="1:13" ht="75">
      <c r="A497" s="18" t="s">
        <v>379</v>
      </c>
      <c r="B497" s="19" t="str">
        <f>INDEX(메뉴구조!$B$5:$B$300,MATCH($A497,메뉴구조!$A$5:$A$300,0))&amp;""</f>
        <v>MY</v>
      </c>
      <c r="C497" s="19" t="str">
        <f>INDEX(메뉴구조!$C$5:$C$300,MATCH($A497,메뉴구조!$A$5:$A$300,0))&amp;""</f>
        <v>관심</v>
      </c>
      <c r="D497" s="19" t="str">
        <f>INDEX(메뉴구조!$D$5:$D$300,MATCH($A497,메뉴구조!$A$5:$A$300,0))&amp;""</f>
        <v>관심종목</v>
      </c>
      <c r="E497" s="19" t="str">
        <f>INDEX(메뉴구조!$E$5:$E$300,MATCH($A497,메뉴구조!$A$5:$A$300,0))&amp;""</f>
        <v>—</v>
      </c>
      <c r="F497" s="9" t="str">
        <f>INDEX(메뉴구조!$G$5:$G$300,MATCH($A497,메뉴구조!$A$5:$A$300,0))&amp;""</f>
        <v>MY / 관심 / 관심종목</v>
      </c>
      <c r="G497" s="18">
        <v>10</v>
      </c>
      <c r="H497" s="9" t="s">
        <v>1717</v>
      </c>
      <c r="I497" s="9" t="s">
        <v>1718</v>
      </c>
      <c r="J497" s="9"/>
      <c r="K497" s="30" t="s">
        <v>11</v>
      </c>
      <c r="L497" s="9" t="s">
        <v>1474</v>
      </c>
      <c r="M497" s="9"/>
    </row>
    <row r="498" spans="1:13" ht="100">
      <c r="A498" s="18" t="s">
        <v>379</v>
      </c>
      <c r="B498" s="19" t="str">
        <f>INDEX(메뉴구조!$B$5:$B$300,MATCH($A498,메뉴구조!$A$5:$A$300,0))&amp;""</f>
        <v>MY</v>
      </c>
      <c r="C498" s="19" t="str">
        <f>INDEX(메뉴구조!$C$5:$C$300,MATCH($A498,메뉴구조!$A$5:$A$300,0))&amp;""</f>
        <v>관심</v>
      </c>
      <c r="D498" s="19" t="str">
        <f>INDEX(메뉴구조!$D$5:$D$300,MATCH($A498,메뉴구조!$A$5:$A$300,0))&amp;""</f>
        <v>관심종목</v>
      </c>
      <c r="E498" s="19" t="str">
        <f>INDEX(메뉴구조!$E$5:$E$300,MATCH($A498,메뉴구조!$A$5:$A$300,0))&amp;""</f>
        <v>—</v>
      </c>
      <c r="F498" s="9" t="str">
        <f>INDEX(메뉴구조!$G$5:$G$300,MATCH($A498,메뉴구조!$A$5:$A$300,0))&amp;""</f>
        <v>MY / 관심 / 관심종목</v>
      </c>
      <c r="G498" s="18">
        <v>11</v>
      </c>
      <c r="H498" s="31" t="s">
        <v>1719</v>
      </c>
      <c r="I498" s="31" t="s">
        <v>1720</v>
      </c>
      <c r="J498" s="9"/>
      <c r="K498" s="20" t="s">
        <v>9</v>
      </c>
      <c r="L498" s="9" t="s">
        <v>1721</v>
      </c>
      <c r="M498" s="9" t="s">
        <v>1722</v>
      </c>
    </row>
    <row r="499" spans="1:13" ht="100">
      <c r="A499" s="18" t="s">
        <v>379</v>
      </c>
      <c r="B499" s="19" t="str">
        <f>INDEX(메뉴구조!$B$5:$B$300,MATCH($A499,메뉴구조!$A$5:$A$300,0))&amp;""</f>
        <v>MY</v>
      </c>
      <c r="C499" s="19" t="str">
        <f>INDEX(메뉴구조!$C$5:$C$300,MATCH($A499,메뉴구조!$A$5:$A$300,0))&amp;""</f>
        <v>관심</v>
      </c>
      <c r="D499" s="19" t="str">
        <f>INDEX(메뉴구조!$D$5:$D$300,MATCH($A499,메뉴구조!$A$5:$A$300,0))&amp;""</f>
        <v>관심종목</v>
      </c>
      <c r="E499" s="19" t="str">
        <f>INDEX(메뉴구조!$E$5:$E$300,MATCH($A499,메뉴구조!$A$5:$A$300,0))&amp;""</f>
        <v>—</v>
      </c>
      <c r="F499" s="9" t="str">
        <f>INDEX(메뉴구조!$G$5:$G$300,MATCH($A499,메뉴구조!$A$5:$A$300,0))&amp;""</f>
        <v>MY / 관심 / 관심종목</v>
      </c>
      <c r="G499" s="18">
        <v>12</v>
      </c>
      <c r="H499" s="28" t="s">
        <v>1723</v>
      </c>
      <c r="I499" s="28" t="s">
        <v>1724</v>
      </c>
      <c r="J499" s="28"/>
      <c r="K499" s="18" t="s">
        <v>15</v>
      </c>
      <c r="L499" s="9" t="s">
        <v>1725</v>
      </c>
      <c r="M499" s="9"/>
    </row>
    <row r="500" spans="1:13" ht="62.5">
      <c r="A500" s="18" t="s">
        <v>379</v>
      </c>
      <c r="B500" s="19" t="str">
        <f>INDEX(메뉴구조!$B$5:$B$300,MATCH($A500,메뉴구조!$A$5:$A$300,0))&amp;""</f>
        <v>MY</v>
      </c>
      <c r="C500" s="19" t="str">
        <f>INDEX(메뉴구조!$C$5:$C$300,MATCH($A500,메뉴구조!$A$5:$A$300,0))&amp;""</f>
        <v>관심</v>
      </c>
      <c r="D500" s="19" t="str">
        <f>INDEX(메뉴구조!$D$5:$D$300,MATCH($A500,메뉴구조!$A$5:$A$300,0))&amp;""</f>
        <v>관심종목</v>
      </c>
      <c r="E500" s="19" t="str">
        <f>INDEX(메뉴구조!$E$5:$E$300,MATCH($A500,메뉴구조!$A$5:$A$300,0))&amp;""</f>
        <v>—</v>
      </c>
      <c r="F500" s="9" t="str">
        <f>INDEX(메뉴구조!$G$5:$G$300,MATCH($A500,메뉴구조!$A$5:$A$300,0))&amp;""</f>
        <v>MY / 관심 / 관심종목</v>
      </c>
      <c r="G500" s="18">
        <v>13</v>
      </c>
      <c r="H500" s="28" t="s">
        <v>1726</v>
      </c>
      <c r="I500" s="28" t="s">
        <v>1727</v>
      </c>
      <c r="J500" s="28"/>
      <c r="K500" s="18" t="s">
        <v>15</v>
      </c>
      <c r="L500" s="9" t="s">
        <v>1728</v>
      </c>
      <c r="M500" s="9"/>
    </row>
    <row r="501" spans="1:13" ht="62.5">
      <c r="A501" s="18" t="s">
        <v>379</v>
      </c>
      <c r="B501" s="19" t="str">
        <f>INDEX(메뉴구조!$B$5:$B$300,MATCH($A501,메뉴구조!$A$5:$A$300,0))&amp;""</f>
        <v>MY</v>
      </c>
      <c r="C501" s="19" t="str">
        <f>INDEX(메뉴구조!$C$5:$C$300,MATCH($A501,메뉴구조!$A$5:$A$300,0))&amp;""</f>
        <v>관심</v>
      </c>
      <c r="D501" s="19" t="str">
        <f>INDEX(메뉴구조!$D$5:$D$300,MATCH($A501,메뉴구조!$A$5:$A$300,0))&amp;""</f>
        <v>관심종목</v>
      </c>
      <c r="E501" s="19" t="str">
        <f>INDEX(메뉴구조!$E$5:$E$300,MATCH($A501,메뉴구조!$A$5:$A$300,0))&amp;""</f>
        <v>—</v>
      </c>
      <c r="F501" s="9" t="str">
        <f>INDEX(메뉴구조!$G$5:$G$300,MATCH($A501,메뉴구조!$A$5:$A$300,0))&amp;""</f>
        <v>MY / 관심 / 관심종목</v>
      </c>
      <c r="G501" s="18">
        <v>14</v>
      </c>
      <c r="H501" s="9" t="s">
        <v>1494</v>
      </c>
      <c r="I501" s="9" t="s">
        <v>1729</v>
      </c>
      <c r="J501" s="9"/>
      <c r="K501" s="30" t="s">
        <v>11</v>
      </c>
      <c r="L501" s="9" t="s">
        <v>1474</v>
      </c>
      <c r="M501" s="9"/>
    </row>
    <row r="502" spans="1:13" ht="25">
      <c r="A502" s="18" t="s">
        <v>379</v>
      </c>
      <c r="B502" s="19" t="str">
        <f>INDEX(메뉴구조!$B$5:$B$300,MATCH($A502,메뉴구조!$A$5:$A$300,0))&amp;""</f>
        <v>MY</v>
      </c>
      <c r="C502" s="19" t="str">
        <f>INDEX(메뉴구조!$C$5:$C$300,MATCH($A502,메뉴구조!$A$5:$A$300,0))&amp;""</f>
        <v>관심</v>
      </c>
      <c r="D502" s="19" t="str">
        <f>INDEX(메뉴구조!$D$5:$D$300,MATCH($A502,메뉴구조!$A$5:$A$300,0))&amp;""</f>
        <v>관심종목</v>
      </c>
      <c r="E502" s="19" t="str">
        <f>INDEX(메뉴구조!$E$5:$E$300,MATCH($A502,메뉴구조!$A$5:$A$300,0))&amp;""</f>
        <v>—</v>
      </c>
      <c r="F502" s="9" t="str">
        <f>INDEX(메뉴구조!$G$5:$G$300,MATCH($A502,메뉴구조!$A$5:$A$300,0))&amp;""</f>
        <v>MY / 관심 / 관심종목</v>
      </c>
      <c r="G502" s="18">
        <v>15</v>
      </c>
      <c r="H502" s="31" t="s">
        <v>1730</v>
      </c>
      <c r="I502" s="31" t="s">
        <v>1731</v>
      </c>
      <c r="J502" s="9"/>
      <c r="K502" s="20" t="s">
        <v>9</v>
      </c>
      <c r="L502" s="9" t="s">
        <v>1732</v>
      </c>
      <c r="M502" s="9" t="s">
        <v>1733</v>
      </c>
    </row>
    <row r="503" spans="1:13" ht="75">
      <c r="A503" s="18" t="s">
        <v>379</v>
      </c>
      <c r="B503" s="19" t="str">
        <f>INDEX(메뉴구조!$B$5:$B$300,MATCH($A503,메뉴구조!$A$5:$A$300,0))&amp;""</f>
        <v>MY</v>
      </c>
      <c r="C503" s="19" t="str">
        <f>INDEX(메뉴구조!$C$5:$C$300,MATCH($A503,메뉴구조!$A$5:$A$300,0))&amp;""</f>
        <v>관심</v>
      </c>
      <c r="D503" s="19" t="str">
        <f>INDEX(메뉴구조!$D$5:$D$300,MATCH($A503,메뉴구조!$A$5:$A$300,0))&amp;""</f>
        <v>관심종목</v>
      </c>
      <c r="E503" s="19" t="str">
        <f>INDEX(메뉴구조!$E$5:$E$300,MATCH($A503,메뉴구조!$A$5:$A$300,0))&amp;""</f>
        <v>—</v>
      </c>
      <c r="F503" s="9" t="str">
        <f>INDEX(메뉴구조!$G$5:$G$300,MATCH($A503,메뉴구조!$A$5:$A$300,0))&amp;""</f>
        <v>MY / 관심 / 관심종목</v>
      </c>
      <c r="G503" s="18">
        <v>16</v>
      </c>
      <c r="H503" s="31" t="s">
        <v>1734</v>
      </c>
      <c r="I503" s="31" t="s">
        <v>1735</v>
      </c>
      <c r="J503" s="9"/>
      <c r="K503" s="20" t="s">
        <v>9</v>
      </c>
      <c r="L503" s="9" t="s">
        <v>1736</v>
      </c>
      <c r="M503" s="9" t="s">
        <v>1737</v>
      </c>
    </row>
    <row r="504" spans="1:13" ht="62.5">
      <c r="A504" s="18" t="s">
        <v>385</v>
      </c>
      <c r="B504" s="19" t="str">
        <f>INDEX(메뉴구조!$B$5:$B$300,MATCH($A504,메뉴구조!$A$5:$A$300,0))&amp;""</f>
        <v>MY</v>
      </c>
      <c r="C504" s="19" t="str">
        <f>INDEX(메뉴구조!$C$5:$C$300,MATCH($A504,메뉴구조!$A$5:$A$300,0))&amp;""</f>
        <v>관심</v>
      </c>
      <c r="D504" s="19" t="str">
        <f>INDEX(메뉴구조!$D$5:$D$300,MATCH($A504,메뉴구조!$A$5:$A$300,0))&amp;""</f>
        <v>관심가게</v>
      </c>
      <c r="E504" s="19" t="str">
        <f>INDEX(메뉴구조!$E$5:$E$300,MATCH($A504,메뉴구조!$A$5:$A$300,0))&amp;""</f>
        <v>—</v>
      </c>
      <c r="F504" s="9" t="str">
        <f>INDEX(메뉴구조!$G$5:$G$300,MATCH($A504,메뉴구조!$A$5:$A$300,0))&amp;""</f>
        <v>MY / 관심 / 관심가게</v>
      </c>
      <c r="G504" s="18">
        <v>1</v>
      </c>
      <c r="H504" s="31" t="s">
        <v>1738</v>
      </c>
      <c r="I504" s="31" t="s">
        <v>1739</v>
      </c>
      <c r="J504" s="9"/>
      <c r="K504" s="20" t="s">
        <v>9</v>
      </c>
      <c r="L504" s="9" t="s">
        <v>1740</v>
      </c>
      <c r="M504" s="9" t="s">
        <v>1741</v>
      </c>
    </row>
    <row r="505" spans="1:13" ht="62.5">
      <c r="A505" s="18" t="s">
        <v>385</v>
      </c>
      <c r="B505" s="19" t="str">
        <f>INDEX(메뉴구조!$B$5:$B$300,MATCH($A505,메뉴구조!$A$5:$A$300,0))&amp;""</f>
        <v>MY</v>
      </c>
      <c r="C505" s="19" t="str">
        <f>INDEX(메뉴구조!$C$5:$C$300,MATCH($A505,메뉴구조!$A$5:$A$300,0))&amp;""</f>
        <v>관심</v>
      </c>
      <c r="D505" s="19" t="str">
        <f>INDEX(메뉴구조!$D$5:$D$300,MATCH($A505,메뉴구조!$A$5:$A$300,0))&amp;""</f>
        <v>관심가게</v>
      </c>
      <c r="E505" s="19" t="str">
        <f>INDEX(메뉴구조!$E$5:$E$300,MATCH($A505,메뉴구조!$A$5:$A$300,0))&amp;""</f>
        <v>—</v>
      </c>
      <c r="F505" s="9" t="str">
        <f>INDEX(메뉴구조!$G$5:$G$300,MATCH($A505,메뉴구조!$A$5:$A$300,0))&amp;""</f>
        <v>MY / 관심 / 관심가게</v>
      </c>
      <c r="G505" s="18">
        <v>2</v>
      </c>
      <c r="H505" s="31" t="s">
        <v>1742</v>
      </c>
      <c r="I505" s="31" t="s">
        <v>1743</v>
      </c>
      <c r="J505" s="9"/>
      <c r="K505" s="20" t="s">
        <v>9</v>
      </c>
      <c r="L505" s="9" t="s">
        <v>398</v>
      </c>
      <c r="M505" s="9" t="s">
        <v>1744</v>
      </c>
    </row>
    <row r="506" spans="1:13" ht="50">
      <c r="A506" s="18" t="s">
        <v>385</v>
      </c>
      <c r="B506" s="19" t="str">
        <f>INDEX(메뉴구조!$B$5:$B$300,MATCH($A506,메뉴구조!$A$5:$A$300,0))&amp;""</f>
        <v>MY</v>
      </c>
      <c r="C506" s="19" t="str">
        <f>INDEX(메뉴구조!$C$5:$C$300,MATCH($A506,메뉴구조!$A$5:$A$300,0))&amp;""</f>
        <v>관심</v>
      </c>
      <c r="D506" s="19" t="str">
        <f>INDEX(메뉴구조!$D$5:$D$300,MATCH($A506,메뉴구조!$A$5:$A$300,0))&amp;""</f>
        <v>관심가게</v>
      </c>
      <c r="E506" s="19" t="str">
        <f>INDEX(메뉴구조!$E$5:$E$300,MATCH($A506,메뉴구조!$A$5:$A$300,0))&amp;""</f>
        <v>—</v>
      </c>
      <c r="F506" s="9" t="str">
        <f>INDEX(메뉴구조!$G$5:$G$300,MATCH($A506,메뉴구조!$A$5:$A$300,0))&amp;""</f>
        <v>MY / 관심 / 관심가게</v>
      </c>
      <c r="G506" s="18">
        <v>3</v>
      </c>
      <c r="H506" s="9" t="s">
        <v>1745</v>
      </c>
      <c r="I506" s="9" t="s">
        <v>1746</v>
      </c>
      <c r="J506" s="9"/>
      <c r="K506" s="30" t="s">
        <v>11</v>
      </c>
      <c r="L506" s="9" t="s">
        <v>1474</v>
      </c>
      <c r="M506" s="9"/>
    </row>
    <row r="507" spans="1:13" ht="62.5">
      <c r="A507" s="18" t="s">
        <v>385</v>
      </c>
      <c r="B507" s="19" t="str">
        <f>INDEX(메뉴구조!$B$5:$B$300,MATCH($A507,메뉴구조!$A$5:$A$300,0))&amp;""</f>
        <v>MY</v>
      </c>
      <c r="C507" s="19" t="str">
        <f>INDEX(메뉴구조!$C$5:$C$300,MATCH($A507,메뉴구조!$A$5:$A$300,0))&amp;""</f>
        <v>관심</v>
      </c>
      <c r="D507" s="19" t="str">
        <f>INDEX(메뉴구조!$D$5:$D$300,MATCH($A507,메뉴구조!$A$5:$A$300,0))&amp;""</f>
        <v>관심가게</v>
      </c>
      <c r="E507" s="19" t="str">
        <f>INDEX(메뉴구조!$E$5:$E$300,MATCH($A507,메뉴구조!$A$5:$A$300,0))&amp;""</f>
        <v>—</v>
      </c>
      <c r="F507" s="9" t="str">
        <f>INDEX(메뉴구조!$G$5:$G$300,MATCH($A507,메뉴구조!$A$5:$A$300,0))&amp;""</f>
        <v>MY / 관심 / 관심가게</v>
      </c>
      <c r="G507" s="18">
        <v>4</v>
      </c>
      <c r="H507" s="31" t="s">
        <v>1747</v>
      </c>
      <c r="I507" s="31" t="s">
        <v>1748</v>
      </c>
      <c r="J507" s="9"/>
      <c r="K507" s="20" t="s">
        <v>9</v>
      </c>
      <c r="L507" s="9" t="s">
        <v>722</v>
      </c>
      <c r="M507" s="9" t="s">
        <v>1749</v>
      </c>
    </row>
    <row r="508" spans="1:13" ht="25">
      <c r="A508" s="18" t="s">
        <v>385</v>
      </c>
      <c r="B508" s="19" t="str">
        <f>INDEX(메뉴구조!$B$5:$B$300,MATCH($A508,메뉴구조!$A$5:$A$300,0))&amp;""</f>
        <v>MY</v>
      </c>
      <c r="C508" s="19" t="str">
        <f>INDEX(메뉴구조!$C$5:$C$300,MATCH($A508,메뉴구조!$A$5:$A$300,0))&amp;""</f>
        <v>관심</v>
      </c>
      <c r="D508" s="19" t="str">
        <f>INDEX(메뉴구조!$D$5:$D$300,MATCH($A508,메뉴구조!$A$5:$A$300,0))&amp;""</f>
        <v>관심가게</v>
      </c>
      <c r="E508" s="19" t="str">
        <f>INDEX(메뉴구조!$E$5:$E$300,MATCH($A508,메뉴구조!$A$5:$A$300,0))&amp;""</f>
        <v>—</v>
      </c>
      <c r="F508" s="9" t="str">
        <f>INDEX(메뉴구조!$G$5:$G$300,MATCH($A508,메뉴구조!$A$5:$A$300,0))&amp;""</f>
        <v>MY / 관심 / 관심가게</v>
      </c>
      <c r="G508" s="18">
        <v>5</v>
      </c>
      <c r="H508" s="31" t="s">
        <v>775</v>
      </c>
      <c r="I508" s="31" t="s">
        <v>1750</v>
      </c>
      <c r="J508" s="9"/>
      <c r="K508" s="20" t="s">
        <v>9</v>
      </c>
      <c r="L508" s="9" t="s">
        <v>1751</v>
      </c>
      <c r="M508" s="9" t="s">
        <v>1752</v>
      </c>
    </row>
    <row r="509" spans="1:13" ht="75">
      <c r="A509" s="18" t="s">
        <v>389</v>
      </c>
      <c r="B509" s="19" t="str">
        <f>INDEX(메뉴구조!$B$5:$B$300,MATCH($A509,메뉴구조!$A$5:$A$300,0))&amp;""</f>
        <v>MY</v>
      </c>
      <c r="C509" s="19" t="str">
        <f>INDEX(메뉴구조!$C$5:$C$300,MATCH($A509,메뉴구조!$A$5:$A$300,0))&amp;""</f>
        <v>활동 내역</v>
      </c>
      <c r="D509" s="19" t="str">
        <f>INDEX(메뉴구조!$D$5:$D$300,MATCH($A509,메뉴구조!$A$5:$A$300,0))&amp;""</f>
        <v>커뮤니티</v>
      </c>
      <c r="E509" s="19" t="str">
        <f>INDEX(메뉴구조!$E$5:$E$300,MATCH($A509,메뉴구조!$A$5:$A$300,0))&amp;""</f>
        <v>—</v>
      </c>
      <c r="F509" s="9" t="str">
        <f>INDEX(메뉴구조!$G$5:$G$300,MATCH($A509,메뉴구조!$A$5:$A$300,0))&amp;""</f>
        <v>MY / 활동 내역 / 커뮤니티</v>
      </c>
      <c r="G509" s="18">
        <v>1</v>
      </c>
      <c r="H509" s="31" t="s">
        <v>1753</v>
      </c>
      <c r="I509" s="31" t="s">
        <v>1754</v>
      </c>
      <c r="J509" s="9"/>
      <c r="K509" s="20" t="s">
        <v>9</v>
      </c>
      <c r="L509" s="9" t="s">
        <v>1755</v>
      </c>
      <c r="M509" s="9" t="s">
        <v>1756</v>
      </c>
    </row>
    <row r="510" spans="1:13" ht="62.5">
      <c r="A510" s="18" t="s">
        <v>389</v>
      </c>
      <c r="B510" s="19" t="str">
        <f>INDEX(메뉴구조!$B$5:$B$300,MATCH($A510,메뉴구조!$A$5:$A$300,0))&amp;""</f>
        <v>MY</v>
      </c>
      <c r="C510" s="19" t="str">
        <f>INDEX(메뉴구조!$C$5:$C$300,MATCH($A510,메뉴구조!$A$5:$A$300,0))&amp;""</f>
        <v>활동 내역</v>
      </c>
      <c r="D510" s="19" t="str">
        <f>INDEX(메뉴구조!$D$5:$D$300,MATCH($A510,메뉴구조!$A$5:$A$300,0))&amp;""</f>
        <v>커뮤니티</v>
      </c>
      <c r="E510" s="19" t="str">
        <f>INDEX(메뉴구조!$E$5:$E$300,MATCH($A510,메뉴구조!$A$5:$A$300,0))&amp;""</f>
        <v>—</v>
      </c>
      <c r="F510" s="9" t="str">
        <f>INDEX(메뉴구조!$G$5:$G$300,MATCH($A510,메뉴구조!$A$5:$A$300,0))&amp;""</f>
        <v>MY / 활동 내역 / 커뮤니티</v>
      </c>
      <c r="G510" s="18">
        <v>2</v>
      </c>
      <c r="H510" s="9" t="s">
        <v>1757</v>
      </c>
      <c r="I510" s="9" t="s">
        <v>1758</v>
      </c>
      <c r="J510" s="9"/>
      <c r="K510" s="18" t="s">
        <v>17</v>
      </c>
      <c r="L510" s="9"/>
      <c r="M510" s="9"/>
    </row>
    <row r="511" spans="1:13" ht="87.5">
      <c r="A511" s="18" t="s">
        <v>389</v>
      </c>
      <c r="B511" s="19" t="str">
        <f>INDEX(메뉴구조!$B$5:$B$300,MATCH($A511,메뉴구조!$A$5:$A$300,0))&amp;""</f>
        <v>MY</v>
      </c>
      <c r="C511" s="19" t="str">
        <f>INDEX(메뉴구조!$C$5:$C$300,MATCH($A511,메뉴구조!$A$5:$A$300,0))&amp;""</f>
        <v>활동 내역</v>
      </c>
      <c r="D511" s="19" t="str">
        <f>INDEX(메뉴구조!$D$5:$D$300,MATCH($A511,메뉴구조!$A$5:$A$300,0))&amp;""</f>
        <v>커뮤니티</v>
      </c>
      <c r="E511" s="19" t="str">
        <f>INDEX(메뉴구조!$E$5:$E$300,MATCH($A511,메뉴구조!$A$5:$A$300,0))&amp;""</f>
        <v>—</v>
      </c>
      <c r="F511" s="9" t="str">
        <f>INDEX(메뉴구조!$G$5:$G$300,MATCH($A511,메뉴구조!$A$5:$A$300,0))&amp;""</f>
        <v>MY / 활동 내역 / 커뮤니티</v>
      </c>
      <c r="G511" s="18">
        <v>3</v>
      </c>
      <c r="H511" s="31" t="s">
        <v>1759</v>
      </c>
      <c r="I511" s="31" t="s">
        <v>1760</v>
      </c>
      <c r="J511" s="9"/>
      <c r="K511" s="20" t="s">
        <v>9</v>
      </c>
      <c r="L511" s="9" t="s">
        <v>402</v>
      </c>
      <c r="M511" s="9" t="s">
        <v>1761</v>
      </c>
    </row>
    <row r="512" spans="1:13" ht="37.5">
      <c r="A512" s="18" t="s">
        <v>389</v>
      </c>
      <c r="B512" s="19" t="str">
        <f>INDEX(메뉴구조!$B$5:$B$300,MATCH($A512,메뉴구조!$A$5:$A$300,0))&amp;""</f>
        <v>MY</v>
      </c>
      <c r="C512" s="19" t="str">
        <f>INDEX(메뉴구조!$C$5:$C$300,MATCH($A512,메뉴구조!$A$5:$A$300,0))&amp;""</f>
        <v>활동 내역</v>
      </c>
      <c r="D512" s="19" t="str">
        <f>INDEX(메뉴구조!$D$5:$D$300,MATCH($A512,메뉴구조!$A$5:$A$300,0))&amp;""</f>
        <v>커뮤니티</v>
      </c>
      <c r="E512" s="19" t="str">
        <f>INDEX(메뉴구조!$E$5:$E$300,MATCH($A512,메뉴구조!$A$5:$A$300,0))&amp;""</f>
        <v>—</v>
      </c>
      <c r="F512" s="9" t="str">
        <f>INDEX(메뉴구조!$G$5:$G$300,MATCH($A512,메뉴구조!$A$5:$A$300,0))&amp;""</f>
        <v>MY / 활동 내역 / 커뮤니티</v>
      </c>
      <c r="G512" s="18">
        <v>4</v>
      </c>
      <c r="H512" s="9" t="s">
        <v>1762</v>
      </c>
      <c r="I512" s="9" t="s">
        <v>1763</v>
      </c>
      <c r="J512" s="9"/>
      <c r="K512" s="18" t="s">
        <v>17</v>
      </c>
      <c r="L512" s="9"/>
      <c r="M512" s="9"/>
    </row>
    <row r="513" spans="1:13" ht="37.5">
      <c r="A513" s="18" t="s">
        <v>392</v>
      </c>
      <c r="B513" s="19" t="str">
        <f>INDEX(메뉴구조!$B$5:$B$300,MATCH($A513,메뉴구조!$A$5:$A$300,0))&amp;""</f>
        <v>MY</v>
      </c>
      <c r="C513" s="19" t="str">
        <f>INDEX(메뉴구조!$C$5:$C$300,MATCH($A513,메뉴구조!$A$5:$A$300,0))&amp;""</f>
        <v>활동 내역</v>
      </c>
      <c r="D513" s="19" t="str">
        <f>INDEX(메뉴구조!$D$5:$D$300,MATCH($A513,메뉴구조!$A$5:$A$300,0))&amp;""</f>
        <v>커뮤니티</v>
      </c>
      <c r="E513" s="19" t="str">
        <f>INDEX(메뉴구조!$E$5:$E$300,MATCH($A513,메뉴구조!$A$5:$A$300,0))&amp;""</f>
        <v>게시글</v>
      </c>
      <c r="F513" s="9" t="str">
        <f>INDEX(메뉴구조!$G$5:$G$300,MATCH($A513,메뉴구조!$A$5:$A$300,0))&amp;""</f>
        <v>MY / 활동 내역 / 커뮤니티 / 게시글</v>
      </c>
      <c r="G513" s="18">
        <v>1</v>
      </c>
      <c r="H513" s="9" t="s">
        <v>1764</v>
      </c>
      <c r="I513" s="9" t="s">
        <v>1765</v>
      </c>
      <c r="J513" s="9"/>
      <c r="K513" s="18" t="s">
        <v>17</v>
      </c>
      <c r="L513" s="9"/>
      <c r="M513" s="9"/>
    </row>
    <row r="514" spans="1:13" ht="25">
      <c r="A514" s="18" t="s">
        <v>392</v>
      </c>
      <c r="B514" s="19" t="str">
        <f>INDEX(메뉴구조!$B$5:$B$300,MATCH($A514,메뉴구조!$A$5:$A$300,0))&amp;""</f>
        <v>MY</v>
      </c>
      <c r="C514" s="19" t="str">
        <f>INDEX(메뉴구조!$C$5:$C$300,MATCH($A514,메뉴구조!$A$5:$A$300,0))&amp;""</f>
        <v>활동 내역</v>
      </c>
      <c r="D514" s="19" t="str">
        <f>INDEX(메뉴구조!$D$5:$D$300,MATCH($A514,메뉴구조!$A$5:$A$300,0))&amp;""</f>
        <v>커뮤니티</v>
      </c>
      <c r="E514" s="19" t="str">
        <f>INDEX(메뉴구조!$E$5:$E$300,MATCH($A514,메뉴구조!$A$5:$A$300,0))&amp;""</f>
        <v>게시글</v>
      </c>
      <c r="F514" s="9" t="str">
        <f>INDEX(메뉴구조!$G$5:$G$300,MATCH($A514,메뉴구조!$A$5:$A$300,0))&amp;""</f>
        <v>MY / 활동 내역 / 커뮤니티 / 게시글</v>
      </c>
      <c r="G514" s="18">
        <v>2</v>
      </c>
      <c r="H514" s="9" t="s">
        <v>1766</v>
      </c>
      <c r="I514" s="9"/>
      <c r="J514" s="9"/>
      <c r="K514" s="18" t="s">
        <v>17</v>
      </c>
      <c r="L514" s="9"/>
      <c r="M514" s="9"/>
    </row>
    <row r="515" spans="1:13" ht="37.5">
      <c r="A515" s="18" t="s">
        <v>392</v>
      </c>
      <c r="B515" s="19" t="str">
        <f>INDEX(메뉴구조!$B$5:$B$300,MATCH($A515,메뉴구조!$A$5:$A$300,0))&amp;""</f>
        <v>MY</v>
      </c>
      <c r="C515" s="19" t="str">
        <f>INDEX(메뉴구조!$C$5:$C$300,MATCH($A515,메뉴구조!$A$5:$A$300,0))&amp;""</f>
        <v>활동 내역</v>
      </c>
      <c r="D515" s="19" t="str">
        <f>INDEX(메뉴구조!$D$5:$D$300,MATCH($A515,메뉴구조!$A$5:$A$300,0))&amp;""</f>
        <v>커뮤니티</v>
      </c>
      <c r="E515" s="19" t="str">
        <f>INDEX(메뉴구조!$E$5:$E$300,MATCH($A515,메뉴구조!$A$5:$A$300,0))&amp;""</f>
        <v>게시글</v>
      </c>
      <c r="F515" s="9" t="str">
        <f>INDEX(메뉴구조!$G$5:$G$300,MATCH($A515,메뉴구조!$A$5:$A$300,0))&amp;""</f>
        <v>MY / 활동 내역 / 커뮤니티 / 게시글</v>
      </c>
      <c r="G515" s="18">
        <v>3</v>
      </c>
      <c r="H515" s="9" t="s">
        <v>1767</v>
      </c>
      <c r="I515" s="9" t="s">
        <v>1768</v>
      </c>
      <c r="J515" s="9"/>
      <c r="K515" s="18" t="s">
        <v>17</v>
      </c>
      <c r="L515" s="9"/>
      <c r="M515" s="9"/>
    </row>
    <row r="516" spans="1:13" ht="25">
      <c r="A516" s="18" t="s">
        <v>392</v>
      </c>
      <c r="B516" s="19" t="str">
        <f>INDEX(메뉴구조!$B$5:$B$300,MATCH($A516,메뉴구조!$A$5:$A$300,0))&amp;""</f>
        <v>MY</v>
      </c>
      <c r="C516" s="19" t="str">
        <f>INDEX(메뉴구조!$C$5:$C$300,MATCH($A516,메뉴구조!$A$5:$A$300,0))&amp;""</f>
        <v>활동 내역</v>
      </c>
      <c r="D516" s="19" t="str">
        <f>INDEX(메뉴구조!$D$5:$D$300,MATCH($A516,메뉴구조!$A$5:$A$300,0))&amp;""</f>
        <v>커뮤니티</v>
      </c>
      <c r="E516" s="19" t="str">
        <f>INDEX(메뉴구조!$E$5:$E$300,MATCH($A516,메뉴구조!$A$5:$A$300,0))&amp;""</f>
        <v>게시글</v>
      </c>
      <c r="F516" s="9" t="str">
        <f>INDEX(메뉴구조!$G$5:$G$300,MATCH($A516,메뉴구조!$A$5:$A$300,0))&amp;""</f>
        <v>MY / 활동 내역 / 커뮤니티 / 게시글</v>
      </c>
      <c r="G516" s="18">
        <v>4</v>
      </c>
      <c r="H516" s="9" t="s">
        <v>1762</v>
      </c>
      <c r="I516" s="9" t="s">
        <v>1769</v>
      </c>
      <c r="J516" s="9"/>
      <c r="K516" s="18" t="s">
        <v>17</v>
      </c>
      <c r="L516" s="9"/>
      <c r="M516" s="9"/>
    </row>
    <row r="517" spans="1:13" ht="25">
      <c r="A517" s="18" t="s">
        <v>394</v>
      </c>
      <c r="B517" s="19" t="str">
        <f>INDEX(메뉴구조!$B$5:$B$300,MATCH($A517,메뉴구조!$A$5:$A$300,0))&amp;""</f>
        <v>MY</v>
      </c>
      <c r="C517" s="19" t="str">
        <f>INDEX(메뉴구조!$C$5:$C$300,MATCH($A517,메뉴구조!$A$5:$A$300,0))&amp;""</f>
        <v>활동 내역</v>
      </c>
      <c r="D517" s="19" t="str">
        <f>INDEX(메뉴구조!$D$5:$D$300,MATCH($A517,메뉴구조!$A$5:$A$300,0))&amp;""</f>
        <v>커뮤니티</v>
      </c>
      <c r="E517" s="19" t="str">
        <f>INDEX(메뉴구조!$E$5:$E$300,MATCH($A517,메뉴구조!$A$5:$A$300,0))&amp;""</f>
        <v>게시글</v>
      </c>
      <c r="F517" s="9" t="str">
        <f>INDEX(메뉴구조!$G$5:$G$300,MATCH($A517,메뉴구조!$A$5:$A$300,0))&amp;""</f>
        <v>MY / 활동 내역 / 커뮤니티 / 게시글</v>
      </c>
      <c r="G517" s="18">
        <v>1</v>
      </c>
      <c r="H517" s="9" t="s">
        <v>1770</v>
      </c>
      <c r="I517" s="9" t="s">
        <v>1771</v>
      </c>
      <c r="J517" s="9"/>
      <c r="K517" s="18" t="s">
        <v>17</v>
      </c>
      <c r="L517" s="9"/>
      <c r="M517" s="9"/>
    </row>
    <row r="518" spans="1:13" ht="62.5">
      <c r="A518" s="18" t="s">
        <v>394</v>
      </c>
      <c r="B518" s="19" t="str">
        <f>INDEX(메뉴구조!$B$5:$B$300,MATCH($A518,메뉴구조!$A$5:$A$300,0))&amp;""</f>
        <v>MY</v>
      </c>
      <c r="C518" s="19" t="str">
        <f>INDEX(메뉴구조!$C$5:$C$300,MATCH($A518,메뉴구조!$A$5:$A$300,0))&amp;""</f>
        <v>활동 내역</v>
      </c>
      <c r="D518" s="19" t="str">
        <f>INDEX(메뉴구조!$D$5:$D$300,MATCH($A518,메뉴구조!$A$5:$A$300,0))&amp;""</f>
        <v>커뮤니티</v>
      </c>
      <c r="E518" s="19" t="str">
        <f>INDEX(메뉴구조!$E$5:$E$300,MATCH($A518,메뉴구조!$A$5:$A$300,0))&amp;""</f>
        <v>게시글</v>
      </c>
      <c r="F518" s="9" t="str">
        <f>INDEX(메뉴구조!$G$5:$G$300,MATCH($A518,메뉴구조!$A$5:$A$300,0))&amp;""</f>
        <v>MY / 활동 내역 / 커뮤니티 / 게시글</v>
      </c>
      <c r="G518" s="18">
        <v>2</v>
      </c>
      <c r="H518" s="9" t="s">
        <v>1772</v>
      </c>
      <c r="I518" s="9" t="s">
        <v>1773</v>
      </c>
      <c r="J518" s="9"/>
      <c r="K518" s="18" t="s">
        <v>17</v>
      </c>
      <c r="L518" s="9"/>
      <c r="M518" s="9"/>
    </row>
    <row r="519" spans="1:13" ht="37.5">
      <c r="A519" s="18" t="s">
        <v>394</v>
      </c>
      <c r="B519" s="19" t="str">
        <f>INDEX(메뉴구조!$B$5:$B$300,MATCH($A519,메뉴구조!$A$5:$A$300,0))&amp;""</f>
        <v>MY</v>
      </c>
      <c r="C519" s="19" t="str">
        <f>INDEX(메뉴구조!$C$5:$C$300,MATCH($A519,메뉴구조!$A$5:$A$300,0))&amp;""</f>
        <v>활동 내역</v>
      </c>
      <c r="D519" s="19" t="str">
        <f>INDEX(메뉴구조!$D$5:$D$300,MATCH($A519,메뉴구조!$A$5:$A$300,0))&amp;""</f>
        <v>커뮤니티</v>
      </c>
      <c r="E519" s="19" t="str">
        <f>INDEX(메뉴구조!$E$5:$E$300,MATCH($A519,메뉴구조!$A$5:$A$300,0))&amp;""</f>
        <v>게시글</v>
      </c>
      <c r="F519" s="9" t="str">
        <f>INDEX(메뉴구조!$G$5:$G$300,MATCH($A519,메뉴구조!$A$5:$A$300,0))&amp;""</f>
        <v>MY / 활동 내역 / 커뮤니티 / 게시글</v>
      </c>
      <c r="G519" s="18">
        <v>3</v>
      </c>
      <c r="H519" s="9" t="s">
        <v>1774</v>
      </c>
      <c r="I519" s="9" t="s">
        <v>1775</v>
      </c>
      <c r="J519" s="9"/>
      <c r="K519" s="18" t="s">
        <v>17</v>
      </c>
      <c r="L519" s="9"/>
      <c r="M519" s="9"/>
    </row>
    <row r="520" spans="1:13" ht="50">
      <c r="A520" s="18" t="s">
        <v>395</v>
      </c>
      <c r="B520" s="19" t="str">
        <f>INDEX(메뉴구조!$B$5:$B$300,MATCH($A520,메뉴구조!$A$5:$A$300,0))&amp;""</f>
        <v>MY</v>
      </c>
      <c r="C520" s="19" t="str">
        <f>INDEX(메뉴구조!$C$5:$C$300,MATCH($A520,메뉴구조!$A$5:$A$300,0))&amp;""</f>
        <v>활동 내역</v>
      </c>
      <c r="D520" s="19" t="str">
        <f>INDEX(메뉴구조!$D$5:$D$300,MATCH($A520,메뉴구조!$A$5:$A$300,0))&amp;""</f>
        <v>커뮤니티</v>
      </c>
      <c r="E520" s="19" t="str">
        <f>INDEX(메뉴구조!$E$5:$E$300,MATCH($A520,메뉴구조!$A$5:$A$300,0))&amp;""</f>
        <v>게시글&gt; 필터</v>
      </c>
      <c r="F520" s="9" t="str">
        <f>INDEX(메뉴구조!$G$5:$G$300,MATCH($A520,메뉴구조!$A$5:$A$300,0))&amp;""</f>
        <v>MY / 활동 내역 / 커뮤니티 / 게시글&gt; 필터</v>
      </c>
      <c r="G520" s="18">
        <v>1</v>
      </c>
      <c r="H520" s="31" t="s">
        <v>1776</v>
      </c>
      <c r="I520" s="31" t="s">
        <v>1777</v>
      </c>
      <c r="J520" s="9"/>
      <c r="K520" s="20" t="s">
        <v>9</v>
      </c>
      <c r="L520" s="9" t="s">
        <v>398</v>
      </c>
      <c r="M520" s="9" t="s">
        <v>1778</v>
      </c>
    </row>
    <row r="521" spans="1:13" ht="25">
      <c r="A521" s="18" t="s">
        <v>399</v>
      </c>
      <c r="B521" s="19" t="str">
        <f>INDEX(메뉴구조!$B$5:$B$300,MATCH($A521,메뉴구조!$A$5:$A$300,0))&amp;""</f>
        <v>MY</v>
      </c>
      <c r="C521" s="19" t="str">
        <f>INDEX(메뉴구조!$C$5:$C$300,MATCH($A521,메뉴구조!$A$5:$A$300,0))&amp;""</f>
        <v>활동 내역</v>
      </c>
      <c r="D521" s="19" t="str">
        <f>INDEX(메뉴구조!$D$5:$D$300,MATCH($A521,메뉴구조!$A$5:$A$300,0))&amp;""</f>
        <v>커뮤니티</v>
      </c>
      <c r="E521" s="19" t="str">
        <f>INDEX(메뉴구조!$E$5:$E$300,MATCH($A521,메뉴구조!$A$5:$A$300,0))&amp;""</f>
        <v>댓글</v>
      </c>
      <c r="F521" s="9" t="str">
        <f>INDEX(메뉴구조!$G$5:$G$300,MATCH($A521,메뉴구조!$A$5:$A$300,0))&amp;""</f>
        <v>MY / 활동 내역 / 커뮤니티 / 댓글</v>
      </c>
      <c r="G521" s="18">
        <v>1</v>
      </c>
      <c r="H521" s="9" t="s">
        <v>1766</v>
      </c>
      <c r="I521" s="9"/>
      <c r="J521" s="9"/>
      <c r="K521" s="18" t="s">
        <v>17</v>
      </c>
      <c r="L521" s="9"/>
      <c r="M521" s="9"/>
    </row>
    <row r="522" spans="1:13" ht="62.5">
      <c r="A522" s="18" t="s">
        <v>399</v>
      </c>
      <c r="B522" s="19" t="str">
        <f>INDEX(메뉴구조!$B$5:$B$300,MATCH($A522,메뉴구조!$A$5:$A$300,0))&amp;""</f>
        <v>MY</v>
      </c>
      <c r="C522" s="19" t="str">
        <f>INDEX(메뉴구조!$C$5:$C$300,MATCH($A522,메뉴구조!$A$5:$A$300,0))&amp;""</f>
        <v>활동 내역</v>
      </c>
      <c r="D522" s="19" t="str">
        <f>INDEX(메뉴구조!$D$5:$D$300,MATCH($A522,메뉴구조!$A$5:$A$300,0))&amp;""</f>
        <v>커뮤니티</v>
      </c>
      <c r="E522" s="19" t="str">
        <f>INDEX(메뉴구조!$E$5:$E$300,MATCH($A522,메뉴구조!$A$5:$A$300,0))&amp;""</f>
        <v>댓글</v>
      </c>
      <c r="F522" s="9" t="str">
        <f>INDEX(메뉴구조!$G$5:$G$300,MATCH($A522,메뉴구조!$A$5:$A$300,0))&amp;""</f>
        <v>MY / 활동 내역 / 커뮤니티 / 댓글</v>
      </c>
      <c r="G522" s="18">
        <v>2</v>
      </c>
      <c r="H522" s="9" t="s">
        <v>1779</v>
      </c>
      <c r="I522" s="9" t="s">
        <v>1780</v>
      </c>
      <c r="J522" s="9"/>
      <c r="K522" s="18" t="s">
        <v>17</v>
      </c>
      <c r="L522" s="9"/>
      <c r="M522" s="9"/>
    </row>
    <row r="523" spans="1:13">
      <c r="A523" s="18" t="s">
        <v>399</v>
      </c>
      <c r="B523" s="19" t="str">
        <f>INDEX(메뉴구조!$B$5:$B$300,MATCH($A523,메뉴구조!$A$5:$A$300,0))&amp;""</f>
        <v>MY</v>
      </c>
      <c r="C523" s="19" t="str">
        <f>INDEX(메뉴구조!$C$5:$C$300,MATCH($A523,메뉴구조!$A$5:$A$300,0))&amp;""</f>
        <v>활동 내역</v>
      </c>
      <c r="D523" s="19" t="str">
        <f>INDEX(메뉴구조!$D$5:$D$300,MATCH($A523,메뉴구조!$A$5:$A$300,0))&amp;""</f>
        <v>커뮤니티</v>
      </c>
      <c r="E523" s="19" t="str">
        <f>INDEX(메뉴구조!$E$5:$E$300,MATCH($A523,메뉴구조!$A$5:$A$300,0))&amp;""</f>
        <v>댓글</v>
      </c>
      <c r="F523" s="9" t="str">
        <f>INDEX(메뉴구조!$G$5:$G$300,MATCH($A523,메뉴구조!$A$5:$A$300,0))&amp;""</f>
        <v>MY / 활동 내역 / 커뮤니티 / 댓글</v>
      </c>
      <c r="G523" s="18">
        <v>3</v>
      </c>
      <c r="H523" s="9" t="s">
        <v>1781</v>
      </c>
      <c r="I523" s="9" t="s">
        <v>1782</v>
      </c>
      <c r="J523" s="9"/>
      <c r="K523" s="18" t="s">
        <v>17</v>
      </c>
      <c r="L523" s="9"/>
      <c r="M523" s="9"/>
    </row>
    <row r="524" spans="1:13" ht="37.5">
      <c r="A524" s="18" t="s">
        <v>401</v>
      </c>
      <c r="B524" s="19" t="str">
        <f>INDEX(메뉴구조!$B$5:$B$300,MATCH($A524,메뉴구조!$A$5:$A$300,0))&amp;""</f>
        <v>MY</v>
      </c>
      <c r="C524" s="19" t="str">
        <f>INDEX(메뉴구조!$C$5:$C$300,MATCH($A524,메뉴구조!$A$5:$A$300,0))&amp;""</f>
        <v>활동 내역</v>
      </c>
      <c r="D524" s="19" t="str">
        <f>INDEX(메뉴구조!$D$5:$D$300,MATCH($A524,메뉴구조!$A$5:$A$300,0))&amp;""</f>
        <v>커뮤니티</v>
      </c>
      <c r="E524" s="19" t="str">
        <f>INDEX(메뉴구조!$E$5:$E$300,MATCH($A524,메뉴구조!$A$5:$A$300,0))&amp;""</f>
        <v>댓글</v>
      </c>
      <c r="F524" s="9" t="str">
        <f>INDEX(메뉴구조!$G$5:$G$300,MATCH($A524,메뉴구조!$A$5:$A$300,0))&amp;""</f>
        <v>MY / 활동 내역 / 커뮤니티 / 댓글</v>
      </c>
      <c r="G524" s="18">
        <v>1</v>
      </c>
      <c r="H524" s="31" t="s">
        <v>1783</v>
      </c>
      <c r="I524" s="31" t="s">
        <v>1784</v>
      </c>
      <c r="J524" s="9"/>
      <c r="K524" s="20" t="s">
        <v>9</v>
      </c>
      <c r="L524" s="9" t="s">
        <v>1785</v>
      </c>
      <c r="M524" s="9" t="s">
        <v>1786</v>
      </c>
    </row>
    <row r="525" spans="1:13" ht="50">
      <c r="A525" s="18" t="s">
        <v>401</v>
      </c>
      <c r="B525" s="19" t="str">
        <f>INDEX(메뉴구조!$B$5:$B$300,MATCH($A525,메뉴구조!$A$5:$A$300,0))&amp;""</f>
        <v>MY</v>
      </c>
      <c r="C525" s="19" t="str">
        <f>INDEX(메뉴구조!$C$5:$C$300,MATCH($A525,메뉴구조!$A$5:$A$300,0))&amp;""</f>
        <v>활동 내역</v>
      </c>
      <c r="D525" s="19" t="str">
        <f>INDEX(메뉴구조!$D$5:$D$300,MATCH($A525,메뉴구조!$A$5:$A$300,0))&amp;""</f>
        <v>커뮤니티</v>
      </c>
      <c r="E525" s="19" t="str">
        <f>INDEX(메뉴구조!$E$5:$E$300,MATCH($A525,메뉴구조!$A$5:$A$300,0))&amp;""</f>
        <v>댓글</v>
      </c>
      <c r="F525" s="9" t="str">
        <f>INDEX(메뉴구조!$G$5:$G$300,MATCH($A525,메뉴구조!$A$5:$A$300,0))&amp;""</f>
        <v>MY / 활동 내역 / 커뮤니티 / 댓글</v>
      </c>
      <c r="G525" s="18">
        <v>2</v>
      </c>
      <c r="H525" s="9" t="s">
        <v>1787</v>
      </c>
      <c r="I525" s="9" t="s">
        <v>1788</v>
      </c>
      <c r="J525" s="9"/>
      <c r="K525" s="18" t="s">
        <v>17</v>
      </c>
      <c r="L525" s="9"/>
      <c r="M525" s="9"/>
    </row>
    <row r="526" spans="1:13" ht="37.5">
      <c r="A526" s="18" t="s">
        <v>403</v>
      </c>
      <c r="B526" s="19" t="str">
        <f>INDEX(메뉴구조!$B$5:$B$300,MATCH($A526,메뉴구조!$A$5:$A$300,0))&amp;""</f>
        <v>MY</v>
      </c>
      <c r="C526" s="19" t="str">
        <f>INDEX(메뉴구조!$C$5:$C$300,MATCH($A526,메뉴구조!$A$5:$A$300,0))&amp;""</f>
        <v>활동 내역</v>
      </c>
      <c r="D526" s="19" t="str">
        <f>INDEX(메뉴구조!$D$5:$D$300,MATCH($A526,메뉴구조!$A$5:$A$300,0))&amp;""</f>
        <v>문의내역</v>
      </c>
      <c r="E526" s="19" t="str">
        <f>INDEX(메뉴구조!$E$5:$E$300,MATCH($A526,메뉴구조!$A$5:$A$300,0))&amp;""</f>
        <v>—</v>
      </c>
      <c r="F526" s="9" t="str">
        <f>INDEX(메뉴구조!$G$5:$G$300,MATCH($A526,메뉴구조!$A$5:$A$300,0))&amp;""</f>
        <v>MY / 활동 내역 / 문의내역</v>
      </c>
      <c r="G526" s="18">
        <v>1</v>
      </c>
      <c r="H526" s="9" t="s">
        <v>1766</v>
      </c>
      <c r="I526" s="9" t="s">
        <v>1789</v>
      </c>
      <c r="J526" s="9"/>
      <c r="K526" s="18" t="s">
        <v>17</v>
      </c>
      <c r="L526" s="9"/>
      <c r="M526" s="9"/>
    </row>
    <row r="527" spans="1:13" ht="25">
      <c r="A527" s="18" t="s">
        <v>403</v>
      </c>
      <c r="B527" s="19" t="str">
        <f>INDEX(메뉴구조!$B$5:$B$300,MATCH($A527,메뉴구조!$A$5:$A$300,0))&amp;""</f>
        <v>MY</v>
      </c>
      <c r="C527" s="19" t="str">
        <f>INDEX(메뉴구조!$C$5:$C$300,MATCH($A527,메뉴구조!$A$5:$A$300,0))&amp;""</f>
        <v>활동 내역</v>
      </c>
      <c r="D527" s="19" t="str">
        <f>INDEX(메뉴구조!$D$5:$D$300,MATCH($A527,메뉴구조!$A$5:$A$300,0))&amp;""</f>
        <v>문의내역</v>
      </c>
      <c r="E527" s="19" t="str">
        <f>INDEX(메뉴구조!$E$5:$E$300,MATCH($A527,메뉴구조!$A$5:$A$300,0))&amp;""</f>
        <v>—</v>
      </c>
      <c r="F527" s="9" t="str">
        <f>INDEX(메뉴구조!$G$5:$G$300,MATCH($A527,메뉴구조!$A$5:$A$300,0))&amp;""</f>
        <v>MY / 활동 내역 / 문의내역</v>
      </c>
      <c r="G527" s="18">
        <v>2</v>
      </c>
      <c r="H527" s="9" t="s">
        <v>1767</v>
      </c>
      <c r="I527" s="9"/>
      <c r="J527" s="9"/>
      <c r="K527" s="18" t="s">
        <v>17</v>
      </c>
      <c r="L527" s="9"/>
      <c r="M527" s="9"/>
    </row>
    <row r="528" spans="1:13" ht="25">
      <c r="A528" s="18" t="s">
        <v>403</v>
      </c>
      <c r="B528" s="19" t="str">
        <f>INDEX(메뉴구조!$B$5:$B$300,MATCH($A528,메뉴구조!$A$5:$A$300,0))&amp;""</f>
        <v>MY</v>
      </c>
      <c r="C528" s="19" t="str">
        <f>INDEX(메뉴구조!$C$5:$C$300,MATCH($A528,메뉴구조!$A$5:$A$300,0))&amp;""</f>
        <v>활동 내역</v>
      </c>
      <c r="D528" s="19" t="str">
        <f>INDEX(메뉴구조!$D$5:$D$300,MATCH($A528,메뉴구조!$A$5:$A$300,0))&amp;""</f>
        <v>문의내역</v>
      </c>
      <c r="E528" s="19" t="str">
        <f>INDEX(메뉴구조!$E$5:$E$300,MATCH($A528,메뉴구조!$A$5:$A$300,0))&amp;""</f>
        <v>—</v>
      </c>
      <c r="F528" s="9" t="str">
        <f>INDEX(메뉴구조!$G$5:$G$300,MATCH($A528,메뉴구조!$A$5:$A$300,0))&amp;""</f>
        <v>MY / 활동 내역 / 문의내역</v>
      </c>
      <c r="G528" s="18">
        <v>3</v>
      </c>
      <c r="H528" s="9" t="s">
        <v>1762</v>
      </c>
      <c r="I528" s="9"/>
      <c r="J528" s="9"/>
      <c r="K528" s="18" t="s">
        <v>17</v>
      </c>
      <c r="L528" s="9"/>
      <c r="M528" s="9"/>
    </row>
    <row r="529" spans="1:13" ht="25">
      <c r="A529" s="18" t="s">
        <v>405</v>
      </c>
      <c r="B529" s="19" t="str">
        <f>INDEX(메뉴구조!$B$5:$B$300,MATCH($A529,메뉴구조!$A$5:$A$300,0))&amp;""</f>
        <v>MY</v>
      </c>
      <c r="C529" s="19" t="str">
        <f>INDEX(메뉴구조!$C$5:$C$300,MATCH($A529,메뉴구조!$A$5:$A$300,0))&amp;""</f>
        <v>활동 내역</v>
      </c>
      <c r="D529" s="19" t="str">
        <f>INDEX(메뉴구조!$D$5:$D$300,MATCH($A529,메뉴구조!$A$5:$A$300,0))&amp;""</f>
        <v>문의내역</v>
      </c>
      <c r="E529" s="19" t="str">
        <f>INDEX(메뉴구조!$E$5:$E$300,MATCH($A529,메뉴구조!$A$5:$A$300,0))&amp;""</f>
        <v>—</v>
      </c>
      <c r="F529" s="9" t="str">
        <f>INDEX(메뉴구조!$G$5:$G$300,MATCH($A529,메뉴구조!$A$5:$A$300,0))&amp;""</f>
        <v>MY / 활동 내역 / 문의내역</v>
      </c>
      <c r="G529" s="18">
        <v>1</v>
      </c>
      <c r="H529" s="9" t="s">
        <v>1790</v>
      </c>
      <c r="I529" s="9" t="s">
        <v>1791</v>
      </c>
      <c r="J529" s="9"/>
      <c r="K529" s="18" t="s">
        <v>17</v>
      </c>
      <c r="L529" s="9"/>
      <c r="M529" s="9"/>
    </row>
    <row r="530" spans="1:13" ht="37.5">
      <c r="A530" s="18" t="s">
        <v>405</v>
      </c>
      <c r="B530" s="19" t="str">
        <f>INDEX(메뉴구조!$B$5:$B$300,MATCH($A530,메뉴구조!$A$5:$A$300,0))&amp;""</f>
        <v>MY</v>
      </c>
      <c r="C530" s="19" t="str">
        <f>INDEX(메뉴구조!$C$5:$C$300,MATCH($A530,메뉴구조!$A$5:$A$300,0))&amp;""</f>
        <v>활동 내역</v>
      </c>
      <c r="D530" s="19" t="str">
        <f>INDEX(메뉴구조!$D$5:$D$300,MATCH($A530,메뉴구조!$A$5:$A$300,0))&amp;""</f>
        <v>문의내역</v>
      </c>
      <c r="E530" s="19" t="str">
        <f>INDEX(메뉴구조!$E$5:$E$300,MATCH($A530,메뉴구조!$A$5:$A$300,0))&amp;""</f>
        <v>—</v>
      </c>
      <c r="F530" s="9" t="str">
        <f>INDEX(메뉴구조!$G$5:$G$300,MATCH($A530,메뉴구조!$A$5:$A$300,0))&amp;""</f>
        <v>MY / 활동 내역 / 문의내역</v>
      </c>
      <c r="G530" s="18">
        <v>2</v>
      </c>
      <c r="H530" s="9" t="s">
        <v>1792</v>
      </c>
      <c r="I530" s="9" t="s">
        <v>1793</v>
      </c>
      <c r="J530" s="9"/>
      <c r="K530" s="18" t="s">
        <v>17</v>
      </c>
      <c r="L530" s="9"/>
      <c r="M530" s="9"/>
    </row>
    <row r="531" spans="1:13" ht="50">
      <c r="A531" s="18" t="s">
        <v>406</v>
      </c>
      <c r="B531" s="19" t="str">
        <f>INDEX(메뉴구조!$B$5:$B$300,MATCH($A531,메뉴구조!$A$5:$A$300,0))&amp;""</f>
        <v>MY</v>
      </c>
      <c r="C531" s="19" t="str">
        <f>INDEX(메뉴구조!$C$5:$C$300,MATCH($A531,메뉴구조!$A$5:$A$300,0))&amp;""</f>
        <v>활동 내역</v>
      </c>
      <c r="D531" s="19" t="str">
        <f>INDEX(메뉴구조!$D$5:$D$300,MATCH($A531,메뉴구조!$A$5:$A$300,0))&amp;""</f>
        <v>문의내역</v>
      </c>
      <c r="E531" s="19" t="str">
        <f>INDEX(메뉴구조!$E$5:$E$300,MATCH($A531,메뉴구조!$A$5:$A$300,0))&amp;""</f>
        <v>1&gt; 2</v>
      </c>
      <c r="F531" s="9" t="str">
        <f>INDEX(메뉴구조!$G$5:$G$300,MATCH($A531,메뉴구조!$A$5:$A$300,0))&amp;""</f>
        <v>MY / 활동 내역 / 문의내역 / 1&gt; 2</v>
      </c>
      <c r="G531" s="18">
        <v>1</v>
      </c>
      <c r="H531" s="31" t="s">
        <v>1794</v>
      </c>
      <c r="I531" s="31" t="s">
        <v>1795</v>
      </c>
      <c r="J531" s="9"/>
      <c r="K531" s="20" t="s">
        <v>9</v>
      </c>
      <c r="L531" s="9" t="s">
        <v>408</v>
      </c>
      <c r="M531" s="9" t="s">
        <v>1796</v>
      </c>
    </row>
    <row r="532" spans="1:13" ht="50">
      <c r="A532" s="18" t="s">
        <v>406</v>
      </c>
      <c r="B532" s="19" t="str">
        <f>INDEX(메뉴구조!$B$5:$B$300,MATCH($A532,메뉴구조!$A$5:$A$300,0))&amp;""</f>
        <v>MY</v>
      </c>
      <c r="C532" s="19" t="str">
        <f>INDEX(메뉴구조!$C$5:$C$300,MATCH($A532,메뉴구조!$A$5:$A$300,0))&amp;""</f>
        <v>활동 내역</v>
      </c>
      <c r="D532" s="19" t="str">
        <f>INDEX(메뉴구조!$D$5:$D$300,MATCH($A532,메뉴구조!$A$5:$A$300,0))&amp;""</f>
        <v>문의내역</v>
      </c>
      <c r="E532" s="19" t="str">
        <f>INDEX(메뉴구조!$E$5:$E$300,MATCH($A532,메뉴구조!$A$5:$A$300,0))&amp;""</f>
        <v>1&gt; 2</v>
      </c>
      <c r="F532" s="9" t="str">
        <f>INDEX(메뉴구조!$G$5:$G$300,MATCH($A532,메뉴구조!$A$5:$A$300,0))&amp;""</f>
        <v>MY / 활동 내역 / 문의내역 / 1&gt; 2</v>
      </c>
      <c r="G532" s="18">
        <v>2</v>
      </c>
      <c r="H532" s="9" t="s">
        <v>1797</v>
      </c>
      <c r="I532" s="9" t="s">
        <v>1798</v>
      </c>
      <c r="J532" s="9"/>
      <c r="K532" s="18" t="s">
        <v>17</v>
      </c>
      <c r="L532" s="9"/>
      <c r="M532" s="9"/>
    </row>
    <row r="533" spans="1:13" ht="50">
      <c r="A533" s="18" t="s">
        <v>406</v>
      </c>
      <c r="B533" s="19" t="str">
        <f>INDEX(메뉴구조!$B$5:$B$300,MATCH($A533,메뉴구조!$A$5:$A$300,0))&amp;""</f>
        <v>MY</v>
      </c>
      <c r="C533" s="19" t="str">
        <f>INDEX(메뉴구조!$C$5:$C$300,MATCH($A533,메뉴구조!$A$5:$A$300,0))&amp;""</f>
        <v>활동 내역</v>
      </c>
      <c r="D533" s="19" t="str">
        <f>INDEX(메뉴구조!$D$5:$D$300,MATCH($A533,메뉴구조!$A$5:$A$300,0))&amp;""</f>
        <v>문의내역</v>
      </c>
      <c r="E533" s="19" t="str">
        <f>INDEX(메뉴구조!$E$5:$E$300,MATCH($A533,메뉴구조!$A$5:$A$300,0))&amp;""</f>
        <v>1&gt; 2</v>
      </c>
      <c r="F533" s="9" t="str">
        <f>INDEX(메뉴구조!$G$5:$G$300,MATCH($A533,메뉴구조!$A$5:$A$300,0))&amp;""</f>
        <v>MY / 활동 내역 / 문의내역 / 1&gt; 2</v>
      </c>
      <c r="G533" s="18">
        <v>3</v>
      </c>
      <c r="H533" s="9" t="s">
        <v>1799</v>
      </c>
      <c r="I533" s="9" t="s">
        <v>1800</v>
      </c>
      <c r="J533" s="9"/>
      <c r="K533" s="18" t="s">
        <v>17</v>
      </c>
      <c r="L533" s="9"/>
      <c r="M533" s="9"/>
    </row>
    <row r="534" spans="1:13" ht="25">
      <c r="A534" s="18" t="s">
        <v>406</v>
      </c>
      <c r="B534" s="19" t="str">
        <f>INDEX(메뉴구조!$B$5:$B$300,MATCH($A534,메뉴구조!$A$5:$A$300,0))&amp;""</f>
        <v>MY</v>
      </c>
      <c r="C534" s="19" t="str">
        <f>INDEX(메뉴구조!$C$5:$C$300,MATCH($A534,메뉴구조!$A$5:$A$300,0))&amp;""</f>
        <v>활동 내역</v>
      </c>
      <c r="D534" s="19" t="str">
        <f>INDEX(메뉴구조!$D$5:$D$300,MATCH($A534,메뉴구조!$A$5:$A$300,0))&amp;""</f>
        <v>문의내역</v>
      </c>
      <c r="E534" s="19" t="str">
        <f>INDEX(메뉴구조!$E$5:$E$300,MATCH($A534,메뉴구조!$A$5:$A$300,0))&amp;""</f>
        <v>1&gt; 2</v>
      </c>
      <c r="F534" s="9" t="str">
        <f>INDEX(메뉴구조!$G$5:$G$300,MATCH($A534,메뉴구조!$A$5:$A$300,0))&amp;""</f>
        <v>MY / 활동 내역 / 문의내역 / 1&gt; 2</v>
      </c>
      <c r="G534" s="18">
        <v>4</v>
      </c>
      <c r="H534" s="9" t="s">
        <v>1801</v>
      </c>
      <c r="I534" s="9" t="s">
        <v>1802</v>
      </c>
      <c r="J534" s="9"/>
      <c r="K534" s="18" t="s">
        <v>17</v>
      </c>
      <c r="L534" s="9"/>
      <c r="M534" s="9"/>
    </row>
    <row r="535" spans="1:13" ht="37.5">
      <c r="A535" s="18" t="s">
        <v>409</v>
      </c>
      <c r="B535" s="19" t="str">
        <f>INDEX(메뉴구조!$B$5:$B$300,MATCH($A535,메뉴구조!$A$5:$A$300,0))&amp;""</f>
        <v>MY</v>
      </c>
      <c r="C535" s="19" t="str">
        <f>INDEX(메뉴구조!$C$5:$C$300,MATCH($A535,메뉴구조!$A$5:$A$300,0))&amp;""</f>
        <v>활동 내역</v>
      </c>
      <c r="D535" s="19" t="str">
        <f>INDEX(메뉴구조!$D$5:$D$300,MATCH($A535,메뉴구조!$A$5:$A$300,0))&amp;""</f>
        <v>문의내역</v>
      </c>
      <c r="E535" s="19" t="str">
        <f>INDEX(메뉴구조!$E$5:$E$300,MATCH($A535,메뉴구조!$A$5:$A$300,0))&amp;""</f>
        <v>2&gt; 2</v>
      </c>
      <c r="F535" s="9" t="str">
        <f>INDEX(메뉴구조!$G$5:$G$300,MATCH($A535,메뉴구조!$A$5:$A$300,0))&amp;""</f>
        <v>MY / 활동 내역 / 문의내역 / 2&gt; 2</v>
      </c>
      <c r="G535" s="18">
        <v>1</v>
      </c>
      <c r="H535" s="31" t="s">
        <v>1803</v>
      </c>
      <c r="I535" s="31" t="s">
        <v>1804</v>
      </c>
      <c r="J535" s="9"/>
      <c r="K535" s="20" t="s">
        <v>9</v>
      </c>
      <c r="L535" s="9" t="s">
        <v>411</v>
      </c>
      <c r="M535" s="9" t="s">
        <v>1804</v>
      </c>
    </row>
    <row r="536" spans="1:13" ht="50">
      <c r="A536" s="18" t="s">
        <v>409</v>
      </c>
      <c r="B536" s="19" t="str">
        <f>INDEX(메뉴구조!$B$5:$B$300,MATCH($A536,메뉴구조!$A$5:$A$300,0))&amp;""</f>
        <v>MY</v>
      </c>
      <c r="C536" s="19" t="str">
        <f>INDEX(메뉴구조!$C$5:$C$300,MATCH($A536,메뉴구조!$A$5:$A$300,0))&amp;""</f>
        <v>활동 내역</v>
      </c>
      <c r="D536" s="19" t="str">
        <f>INDEX(메뉴구조!$D$5:$D$300,MATCH($A536,메뉴구조!$A$5:$A$300,0))&amp;""</f>
        <v>문의내역</v>
      </c>
      <c r="E536" s="19" t="str">
        <f>INDEX(메뉴구조!$E$5:$E$300,MATCH($A536,메뉴구조!$A$5:$A$300,0))&amp;""</f>
        <v>2&gt; 2</v>
      </c>
      <c r="F536" s="9" t="str">
        <f>INDEX(메뉴구조!$G$5:$G$300,MATCH($A536,메뉴구조!$A$5:$A$300,0))&amp;""</f>
        <v>MY / 활동 내역 / 문의내역 / 2&gt; 2</v>
      </c>
      <c r="G536" s="18">
        <v>2</v>
      </c>
      <c r="H536" s="9" t="s">
        <v>1805</v>
      </c>
      <c r="I536" s="9" t="s">
        <v>1806</v>
      </c>
      <c r="J536" s="9"/>
      <c r="K536" s="18" t="s">
        <v>17</v>
      </c>
      <c r="L536" s="9"/>
      <c r="M536" s="9"/>
    </row>
    <row r="537" spans="1:13" ht="25">
      <c r="A537" s="18" t="s">
        <v>412</v>
      </c>
      <c r="B537" s="19" t="str">
        <f>INDEX(메뉴구조!$B$5:$B$300,MATCH($A537,메뉴구조!$A$5:$A$300,0))&amp;""</f>
        <v>MY</v>
      </c>
      <c r="C537" s="19" t="str">
        <f>INDEX(메뉴구조!$C$5:$C$300,MATCH($A537,메뉴구조!$A$5:$A$300,0))&amp;""</f>
        <v>내 정보</v>
      </c>
      <c r="D537" s="19" t="str">
        <f>INDEX(메뉴구조!$D$5:$D$300,MATCH($A537,메뉴구조!$A$5:$A$300,0))&amp;""</f>
        <v>재인증</v>
      </c>
      <c r="E537" s="19" t="str">
        <f>INDEX(메뉴구조!$E$5:$E$300,MATCH($A537,메뉴구조!$A$5:$A$300,0))&amp;""</f>
        <v>—</v>
      </c>
      <c r="F537" s="9" t="str">
        <f>INDEX(메뉴구조!$G$5:$G$300,MATCH($A537,메뉴구조!$A$5:$A$300,0))&amp;""</f>
        <v>MY / 내 정보 / 재인증</v>
      </c>
      <c r="G537" s="18">
        <v>1</v>
      </c>
      <c r="H537" s="31" t="s">
        <v>1807</v>
      </c>
      <c r="I537" s="31" t="s">
        <v>1808</v>
      </c>
      <c r="J537" s="9"/>
      <c r="K537" s="20" t="s">
        <v>9</v>
      </c>
      <c r="L537" s="9" t="s">
        <v>1658</v>
      </c>
      <c r="M537" s="9" t="s">
        <v>1809</v>
      </c>
    </row>
    <row r="538" spans="1:13" ht="62.5">
      <c r="A538" s="18" t="s">
        <v>412</v>
      </c>
      <c r="B538" s="19" t="str">
        <f>INDEX(메뉴구조!$B$5:$B$300,MATCH($A538,메뉴구조!$A$5:$A$300,0))&amp;""</f>
        <v>MY</v>
      </c>
      <c r="C538" s="19" t="str">
        <f>INDEX(메뉴구조!$C$5:$C$300,MATCH($A538,메뉴구조!$A$5:$A$300,0))&amp;""</f>
        <v>내 정보</v>
      </c>
      <c r="D538" s="19" t="str">
        <f>INDEX(메뉴구조!$D$5:$D$300,MATCH($A538,메뉴구조!$A$5:$A$300,0))&amp;""</f>
        <v>재인증</v>
      </c>
      <c r="E538" s="19" t="str">
        <f>INDEX(메뉴구조!$E$5:$E$300,MATCH($A538,메뉴구조!$A$5:$A$300,0))&amp;""</f>
        <v>—</v>
      </c>
      <c r="F538" s="9" t="str">
        <f>INDEX(메뉴구조!$G$5:$G$300,MATCH($A538,메뉴구조!$A$5:$A$300,0))&amp;""</f>
        <v>MY / 내 정보 / 재인증</v>
      </c>
      <c r="G538" s="18">
        <v>2</v>
      </c>
      <c r="H538" s="31" t="s">
        <v>1810</v>
      </c>
      <c r="I538" s="31" t="s">
        <v>1811</v>
      </c>
      <c r="J538" s="9"/>
      <c r="K538" s="20" t="s">
        <v>9</v>
      </c>
      <c r="L538" s="9" t="s">
        <v>1812</v>
      </c>
      <c r="M538" s="9" t="s">
        <v>1813</v>
      </c>
    </row>
    <row r="539" spans="1:13" ht="62.5">
      <c r="A539" s="18" t="s">
        <v>412</v>
      </c>
      <c r="B539" s="19" t="str">
        <f>INDEX(메뉴구조!$B$5:$B$300,MATCH($A539,메뉴구조!$A$5:$A$300,0))&amp;""</f>
        <v>MY</v>
      </c>
      <c r="C539" s="19" t="str">
        <f>INDEX(메뉴구조!$C$5:$C$300,MATCH($A539,메뉴구조!$A$5:$A$300,0))&amp;""</f>
        <v>내 정보</v>
      </c>
      <c r="D539" s="19" t="str">
        <f>INDEX(메뉴구조!$D$5:$D$300,MATCH($A539,메뉴구조!$A$5:$A$300,0))&amp;""</f>
        <v>재인증</v>
      </c>
      <c r="E539" s="19" t="str">
        <f>INDEX(메뉴구조!$E$5:$E$300,MATCH($A539,메뉴구조!$A$5:$A$300,0))&amp;""</f>
        <v>—</v>
      </c>
      <c r="F539" s="9" t="str">
        <f>INDEX(메뉴구조!$G$5:$G$300,MATCH($A539,메뉴구조!$A$5:$A$300,0))&amp;""</f>
        <v>MY / 내 정보 / 재인증</v>
      </c>
      <c r="G539" s="18">
        <v>3</v>
      </c>
      <c r="H539" s="31" t="s">
        <v>1814</v>
      </c>
      <c r="I539" s="31" t="s">
        <v>1815</v>
      </c>
      <c r="J539" s="9"/>
      <c r="K539" s="20" t="s">
        <v>9</v>
      </c>
      <c r="L539" s="9" t="s">
        <v>1816</v>
      </c>
      <c r="M539" s="9" t="s">
        <v>1817</v>
      </c>
    </row>
    <row r="540" spans="1:13" ht="37.5">
      <c r="A540" s="18" t="s">
        <v>412</v>
      </c>
      <c r="B540" s="19" t="str">
        <f>INDEX(메뉴구조!$B$5:$B$300,MATCH($A540,메뉴구조!$A$5:$A$300,0))&amp;""</f>
        <v>MY</v>
      </c>
      <c r="C540" s="19" t="str">
        <f>INDEX(메뉴구조!$C$5:$C$300,MATCH($A540,메뉴구조!$A$5:$A$300,0))&amp;""</f>
        <v>내 정보</v>
      </c>
      <c r="D540" s="19" t="str">
        <f>INDEX(메뉴구조!$D$5:$D$300,MATCH($A540,메뉴구조!$A$5:$A$300,0))&amp;""</f>
        <v>재인증</v>
      </c>
      <c r="E540" s="19" t="str">
        <f>INDEX(메뉴구조!$E$5:$E$300,MATCH($A540,메뉴구조!$A$5:$A$300,0))&amp;""</f>
        <v>—</v>
      </c>
      <c r="F540" s="9" t="str">
        <f>INDEX(메뉴구조!$G$5:$G$300,MATCH($A540,메뉴구조!$A$5:$A$300,0))&amp;""</f>
        <v>MY / 내 정보 / 재인증</v>
      </c>
      <c r="G540" s="18">
        <v>4</v>
      </c>
      <c r="H540" s="9" t="s">
        <v>605</v>
      </c>
      <c r="I540" s="9" t="s">
        <v>1818</v>
      </c>
      <c r="J540" s="9"/>
      <c r="K540" s="18" t="s">
        <v>17</v>
      </c>
      <c r="L540" s="9"/>
      <c r="M540" s="9"/>
    </row>
    <row r="541" spans="1:13" ht="112.5">
      <c r="A541" s="18" t="s">
        <v>417</v>
      </c>
      <c r="B541" s="19" t="str">
        <f>INDEX(메뉴구조!$B$5:$B$300,MATCH($A541,메뉴구조!$A$5:$A$300,0))&amp;""</f>
        <v>MY</v>
      </c>
      <c r="C541" s="19" t="str">
        <f>INDEX(메뉴구조!$C$5:$C$300,MATCH($A541,메뉴구조!$A$5:$A$300,0))&amp;""</f>
        <v>내 정보</v>
      </c>
      <c r="D541" s="19" t="str">
        <f>INDEX(메뉴구조!$D$5:$D$300,MATCH($A541,메뉴구조!$A$5:$A$300,0))&amp;""</f>
        <v>—</v>
      </c>
      <c r="E541" s="19" t="str">
        <f>INDEX(메뉴구조!$E$5:$E$300,MATCH($A541,메뉴구조!$A$5:$A$300,0))&amp;""</f>
        <v>—</v>
      </c>
      <c r="F541" s="9" t="str">
        <f>INDEX(메뉴구조!$G$5:$G$300,MATCH($A541,메뉴구조!$A$5:$A$300,0))&amp;""</f>
        <v>MY / 내 정보</v>
      </c>
      <c r="G541" s="18">
        <v>1</v>
      </c>
      <c r="H541" s="31" t="s">
        <v>1819</v>
      </c>
      <c r="I541" s="31" t="s">
        <v>1820</v>
      </c>
      <c r="J541" s="9"/>
      <c r="K541" s="20" t="s">
        <v>9</v>
      </c>
      <c r="L541" s="9" t="s">
        <v>1821</v>
      </c>
      <c r="M541" s="9" t="s">
        <v>1822</v>
      </c>
    </row>
    <row r="542" spans="1:13" ht="37.5">
      <c r="A542" s="18" t="s">
        <v>417</v>
      </c>
      <c r="B542" s="19" t="str">
        <f>INDEX(메뉴구조!$B$5:$B$300,MATCH($A542,메뉴구조!$A$5:$A$300,0))&amp;""</f>
        <v>MY</v>
      </c>
      <c r="C542" s="19" t="str">
        <f>INDEX(메뉴구조!$C$5:$C$300,MATCH($A542,메뉴구조!$A$5:$A$300,0))&amp;""</f>
        <v>내 정보</v>
      </c>
      <c r="D542" s="19" t="str">
        <f>INDEX(메뉴구조!$D$5:$D$300,MATCH($A542,메뉴구조!$A$5:$A$300,0))&amp;""</f>
        <v>—</v>
      </c>
      <c r="E542" s="19" t="str">
        <f>INDEX(메뉴구조!$E$5:$E$300,MATCH($A542,메뉴구조!$A$5:$A$300,0))&amp;""</f>
        <v>—</v>
      </c>
      <c r="F542" s="9" t="str">
        <f>INDEX(메뉴구조!$G$5:$G$300,MATCH($A542,메뉴구조!$A$5:$A$300,0))&amp;""</f>
        <v>MY / 내 정보</v>
      </c>
      <c r="G542" s="18">
        <v>2</v>
      </c>
      <c r="H542" s="9" t="s">
        <v>1823</v>
      </c>
      <c r="I542" s="9" t="s">
        <v>1824</v>
      </c>
      <c r="J542" s="9"/>
      <c r="K542" s="18" t="s">
        <v>17</v>
      </c>
      <c r="L542" s="9"/>
      <c r="M542" s="9"/>
    </row>
    <row r="543" spans="1:13" ht="50">
      <c r="A543" s="18" t="s">
        <v>417</v>
      </c>
      <c r="B543" s="19" t="str">
        <f>INDEX(메뉴구조!$B$5:$B$300,MATCH($A543,메뉴구조!$A$5:$A$300,0))&amp;""</f>
        <v>MY</v>
      </c>
      <c r="C543" s="19" t="str">
        <f>INDEX(메뉴구조!$C$5:$C$300,MATCH($A543,메뉴구조!$A$5:$A$300,0))&amp;""</f>
        <v>내 정보</v>
      </c>
      <c r="D543" s="19" t="str">
        <f>INDEX(메뉴구조!$D$5:$D$300,MATCH($A543,메뉴구조!$A$5:$A$300,0))&amp;""</f>
        <v>—</v>
      </c>
      <c r="E543" s="19" t="str">
        <f>INDEX(메뉴구조!$E$5:$E$300,MATCH($A543,메뉴구조!$A$5:$A$300,0))&amp;""</f>
        <v>—</v>
      </c>
      <c r="F543" s="9" t="str">
        <f>INDEX(메뉴구조!$G$5:$G$300,MATCH($A543,메뉴구조!$A$5:$A$300,0))&amp;""</f>
        <v>MY / 내 정보</v>
      </c>
      <c r="G543" s="18">
        <v>3</v>
      </c>
      <c r="H543" s="9" t="s">
        <v>1825</v>
      </c>
      <c r="I543" s="9" t="s">
        <v>1826</v>
      </c>
      <c r="J543" s="9"/>
      <c r="K543" s="18" t="s">
        <v>17</v>
      </c>
      <c r="L543" s="9"/>
      <c r="M543" s="9"/>
    </row>
    <row r="544" spans="1:13" ht="62.5">
      <c r="A544" s="18" t="s">
        <v>417</v>
      </c>
      <c r="B544" s="19" t="str">
        <f>INDEX(메뉴구조!$B$5:$B$300,MATCH($A544,메뉴구조!$A$5:$A$300,0))&amp;""</f>
        <v>MY</v>
      </c>
      <c r="C544" s="19" t="str">
        <f>INDEX(메뉴구조!$C$5:$C$300,MATCH($A544,메뉴구조!$A$5:$A$300,0))&amp;""</f>
        <v>내 정보</v>
      </c>
      <c r="D544" s="19" t="str">
        <f>INDEX(메뉴구조!$D$5:$D$300,MATCH($A544,메뉴구조!$A$5:$A$300,0))&amp;""</f>
        <v>—</v>
      </c>
      <c r="E544" s="19" t="str">
        <f>INDEX(메뉴구조!$E$5:$E$300,MATCH($A544,메뉴구조!$A$5:$A$300,0))&amp;""</f>
        <v>—</v>
      </c>
      <c r="F544" s="9" t="str">
        <f>INDEX(메뉴구조!$G$5:$G$300,MATCH($A544,메뉴구조!$A$5:$A$300,0))&amp;""</f>
        <v>MY / 내 정보</v>
      </c>
      <c r="G544" s="18">
        <v>4</v>
      </c>
      <c r="H544" s="9" t="s">
        <v>1827</v>
      </c>
      <c r="I544" s="9" t="s">
        <v>1828</v>
      </c>
      <c r="J544" s="9"/>
      <c r="K544" s="18" t="s">
        <v>17</v>
      </c>
      <c r="L544" s="9"/>
      <c r="M544" s="9"/>
    </row>
    <row r="545" spans="1:13" ht="50">
      <c r="A545" s="18" t="s">
        <v>417</v>
      </c>
      <c r="B545" s="19" t="str">
        <f>INDEX(메뉴구조!$B$5:$B$300,MATCH($A545,메뉴구조!$A$5:$A$300,0))&amp;""</f>
        <v>MY</v>
      </c>
      <c r="C545" s="19" t="str">
        <f>INDEX(메뉴구조!$C$5:$C$300,MATCH($A545,메뉴구조!$A$5:$A$300,0))&amp;""</f>
        <v>내 정보</v>
      </c>
      <c r="D545" s="19" t="str">
        <f>INDEX(메뉴구조!$D$5:$D$300,MATCH($A545,메뉴구조!$A$5:$A$300,0))&amp;""</f>
        <v>—</v>
      </c>
      <c r="E545" s="19" t="str">
        <f>INDEX(메뉴구조!$E$5:$E$300,MATCH($A545,메뉴구조!$A$5:$A$300,0))&amp;""</f>
        <v>—</v>
      </c>
      <c r="F545" s="9" t="str">
        <f>INDEX(메뉴구조!$G$5:$G$300,MATCH($A545,메뉴구조!$A$5:$A$300,0))&amp;""</f>
        <v>MY / 내 정보</v>
      </c>
      <c r="G545" s="18">
        <v>5</v>
      </c>
      <c r="H545" s="9" t="s">
        <v>1829</v>
      </c>
      <c r="I545" s="9" t="s">
        <v>1830</v>
      </c>
      <c r="J545" s="9"/>
      <c r="K545" s="18" t="s">
        <v>17</v>
      </c>
      <c r="L545" s="9"/>
      <c r="M545" s="9"/>
    </row>
    <row r="546" spans="1:13" ht="75">
      <c r="A546" s="18" t="s">
        <v>417</v>
      </c>
      <c r="B546" s="19" t="str">
        <f>INDEX(메뉴구조!$B$5:$B$300,MATCH($A546,메뉴구조!$A$5:$A$300,0))&amp;""</f>
        <v>MY</v>
      </c>
      <c r="C546" s="19" t="str">
        <f>INDEX(메뉴구조!$C$5:$C$300,MATCH($A546,메뉴구조!$A$5:$A$300,0))&amp;""</f>
        <v>내 정보</v>
      </c>
      <c r="D546" s="19" t="str">
        <f>INDEX(메뉴구조!$D$5:$D$300,MATCH($A546,메뉴구조!$A$5:$A$300,0))&amp;""</f>
        <v>—</v>
      </c>
      <c r="E546" s="19" t="str">
        <f>INDEX(메뉴구조!$E$5:$E$300,MATCH($A546,메뉴구조!$A$5:$A$300,0))&amp;""</f>
        <v>—</v>
      </c>
      <c r="F546" s="9" t="str">
        <f>INDEX(메뉴구조!$G$5:$G$300,MATCH($A546,메뉴구조!$A$5:$A$300,0))&amp;""</f>
        <v>MY / 내 정보</v>
      </c>
      <c r="G546" s="18">
        <v>6</v>
      </c>
      <c r="H546" s="31" t="s">
        <v>1831</v>
      </c>
      <c r="I546" s="31" t="s">
        <v>1832</v>
      </c>
      <c r="J546" s="9" t="s">
        <v>1833</v>
      </c>
      <c r="K546" s="20" t="s">
        <v>9</v>
      </c>
      <c r="L546" s="9" t="s">
        <v>1834</v>
      </c>
      <c r="M546" s="9" t="s">
        <v>1835</v>
      </c>
    </row>
    <row r="547" spans="1:13" ht="25">
      <c r="A547" s="18" t="s">
        <v>419</v>
      </c>
      <c r="B547" s="19" t="str">
        <f>INDEX(메뉴구조!$B$5:$B$300,MATCH($A547,메뉴구조!$A$5:$A$300,0))&amp;""</f>
        <v>MY</v>
      </c>
      <c r="C547" s="19" t="str">
        <f>INDEX(메뉴구조!$C$5:$C$300,MATCH($A547,메뉴구조!$A$5:$A$300,0))&amp;""</f>
        <v>내 정보</v>
      </c>
      <c r="D547" s="19" t="str">
        <f>INDEX(메뉴구조!$D$5:$D$300,MATCH($A547,메뉴구조!$A$5:$A$300,0))&amp;""</f>
        <v>이메일 1</v>
      </c>
      <c r="E547" s="19" t="str">
        <f>INDEX(메뉴구조!$E$5:$E$300,MATCH($A547,메뉴구조!$A$5:$A$300,0))&amp;""</f>
        <v>—</v>
      </c>
      <c r="F547" s="9" t="str">
        <f>INDEX(메뉴구조!$G$5:$G$300,MATCH($A547,메뉴구조!$A$5:$A$300,0))&amp;""</f>
        <v>MY / 내 정보 / 이메일 1</v>
      </c>
      <c r="G547" s="18">
        <v>1</v>
      </c>
      <c r="H547" s="9" t="s">
        <v>1836</v>
      </c>
      <c r="I547" s="9" t="s">
        <v>1837</v>
      </c>
      <c r="J547" s="9"/>
      <c r="K547" s="25" t="s">
        <v>13</v>
      </c>
      <c r="L547" s="9" t="s">
        <v>851</v>
      </c>
      <c r="M547" s="9"/>
    </row>
    <row r="548" spans="1:13" ht="37.5">
      <c r="A548" s="18" t="s">
        <v>419</v>
      </c>
      <c r="B548" s="19" t="str">
        <f>INDEX(메뉴구조!$B$5:$B$300,MATCH($A548,메뉴구조!$A$5:$A$300,0))&amp;""</f>
        <v>MY</v>
      </c>
      <c r="C548" s="19" t="str">
        <f>INDEX(메뉴구조!$C$5:$C$300,MATCH($A548,메뉴구조!$A$5:$A$300,0))&amp;""</f>
        <v>내 정보</v>
      </c>
      <c r="D548" s="19" t="str">
        <f>INDEX(메뉴구조!$D$5:$D$300,MATCH($A548,메뉴구조!$A$5:$A$300,0))&amp;""</f>
        <v>이메일 1</v>
      </c>
      <c r="E548" s="19" t="str">
        <f>INDEX(메뉴구조!$E$5:$E$300,MATCH($A548,메뉴구조!$A$5:$A$300,0))&amp;""</f>
        <v>—</v>
      </c>
      <c r="F548" s="9" t="str">
        <f>INDEX(메뉴구조!$G$5:$G$300,MATCH($A548,메뉴구조!$A$5:$A$300,0))&amp;""</f>
        <v>MY / 내 정보 / 이메일 1</v>
      </c>
      <c r="G548" s="18">
        <v>2</v>
      </c>
      <c r="H548" s="9" t="s">
        <v>1838</v>
      </c>
      <c r="I548" s="9" t="s">
        <v>1839</v>
      </c>
      <c r="J548" s="9"/>
      <c r="K548" s="25" t="s">
        <v>13</v>
      </c>
      <c r="L548" s="9" t="s">
        <v>851</v>
      </c>
      <c r="M548" s="9"/>
    </row>
    <row r="549" spans="1:13" ht="25">
      <c r="A549" s="18" t="s">
        <v>419</v>
      </c>
      <c r="B549" s="19" t="str">
        <f>INDEX(메뉴구조!$B$5:$B$300,MATCH($A549,메뉴구조!$A$5:$A$300,0))&amp;""</f>
        <v>MY</v>
      </c>
      <c r="C549" s="19" t="str">
        <f>INDEX(메뉴구조!$C$5:$C$300,MATCH($A549,메뉴구조!$A$5:$A$300,0))&amp;""</f>
        <v>내 정보</v>
      </c>
      <c r="D549" s="19" t="str">
        <f>INDEX(메뉴구조!$D$5:$D$300,MATCH($A549,메뉴구조!$A$5:$A$300,0))&amp;""</f>
        <v>이메일 1</v>
      </c>
      <c r="E549" s="19" t="str">
        <f>INDEX(메뉴구조!$E$5:$E$300,MATCH($A549,메뉴구조!$A$5:$A$300,0))&amp;""</f>
        <v>—</v>
      </c>
      <c r="F549" s="9" t="str">
        <f>INDEX(메뉴구조!$G$5:$G$300,MATCH($A549,메뉴구조!$A$5:$A$300,0))&amp;""</f>
        <v>MY / 내 정보 / 이메일 1</v>
      </c>
      <c r="G549" s="18">
        <v>3</v>
      </c>
      <c r="H549" s="9" t="s">
        <v>1840</v>
      </c>
      <c r="I549" s="9" t="s">
        <v>1841</v>
      </c>
      <c r="J549" s="9"/>
      <c r="K549" s="25" t="s">
        <v>13</v>
      </c>
      <c r="L549" s="9" t="s">
        <v>851</v>
      </c>
      <c r="M549" s="9"/>
    </row>
    <row r="550" spans="1:13" ht="50">
      <c r="A550" s="18" t="s">
        <v>423</v>
      </c>
      <c r="B550" s="19" t="str">
        <f>INDEX(메뉴구조!$B$5:$B$300,MATCH($A550,메뉴구조!$A$5:$A$300,0))&amp;""</f>
        <v>MY</v>
      </c>
      <c r="C550" s="19" t="str">
        <f>INDEX(메뉴구조!$C$5:$C$300,MATCH($A550,메뉴구조!$A$5:$A$300,0))&amp;""</f>
        <v>내 정보</v>
      </c>
      <c r="D550" s="19" t="str">
        <f>INDEX(메뉴구조!$D$5:$D$300,MATCH($A550,메뉴구조!$A$5:$A$300,0))&amp;""</f>
        <v>이메일 2</v>
      </c>
      <c r="E550" s="19" t="str">
        <f>INDEX(메뉴구조!$E$5:$E$300,MATCH($A550,메뉴구조!$A$5:$A$300,0))&amp;""</f>
        <v>—</v>
      </c>
      <c r="F550" s="9" t="str">
        <f>INDEX(메뉴구조!$G$5:$G$300,MATCH($A550,메뉴구조!$A$5:$A$300,0))&amp;""</f>
        <v>MY / 내 정보 / 이메일 2</v>
      </c>
      <c r="G550" s="18">
        <v>1</v>
      </c>
      <c r="H550" s="9" t="s">
        <v>1842</v>
      </c>
      <c r="I550" s="9" t="s">
        <v>1843</v>
      </c>
      <c r="J550" s="9"/>
      <c r="K550" s="25" t="s">
        <v>13</v>
      </c>
      <c r="L550" s="9" t="s">
        <v>851</v>
      </c>
      <c r="M550" s="9"/>
    </row>
    <row r="551" spans="1:13" ht="37.5">
      <c r="A551" s="18" t="s">
        <v>423</v>
      </c>
      <c r="B551" s="19" t="str">
        <f>INDEX(메뉴구조!$B$5:$B$300,MATCH($A551,메뉴구조!$A$5:$A$300,0))&amp;""</f>
        <v>MY</v>
      </c>
      <c r="C551" s="19" t="str">
        <f>INDEX(메뉴구조!$C$5:$C$300,MATCH($A551,메뉴구조!$A$5:$A$300,0))&amp;""</f>
        <v>내 정보</v>
      </c>
      <c r="D551" s="19" t="str">
        <f>INDEX(메뉴구조!$D$5:$D$300,MATCH($A551,메뉴구조!$A$5:$A$300,0))&amp;""</f>
        <v>이메일 2</v>
      </c>
      <c r="E551" s="19" t="str">
        <f>INDEX(메뉴구조!$E$5:$E$300,MATCH($A551,메뉴구조!$A$5:$A$300,0))&amp;""</f>
        <v>—</v>
      </c>
      <c r="F551" s="9" t="str">
        <f>INDEX(메뉴구조!$G$5:$G$300,MATCH($A551,메뉴구조!$A$5:$A$300,0))&amp;""</f>
        <v>MY / 내 정보 / 이메일 2</v>
      </c>
      <c r="G551" s="18">
        <v>2</v>
      </c>
      <c r="H551" s="9" t="s">
        <v>1844</v>
      </c>
      <c r="I551" s="9" t="s">
        <v>1845</v>
      </c>
      <c r="J551" s="9"/>
      <c r="K551" s="25" t="s">
        <v>13</v>
      </c>
      <c r="L551" s="9" t="s">
        <v>851</v>
      </c>
      <c r="M551" s="9"/>
    </row>
    <row r="552" spans="1:13" ht="50">
      <c r="A552" s="18" t="s">
        <v>426</v>
      </c>
      <c r="B552" s="19" t="str">
        <f>INDEX(메뉴구조!$B$5:$B$300,MATCH($A552,메뉴구조!$A$5:$A$300,0))&amp;""</f>
        <v>MY</v>
      </c>
      <c r="C552" s="19" t="str">
        <f>INDEX(메뉴구조!$C$5:$C$300,MATCH($A552,메뉴구조!$A$5:$A$300,0))&amp;""</f>
        <v>내 정보</v>
      </c>
      <c r="D552" s="19" t="str">
        <f>INDEX(메뉴구조!$D$5:$D$300,MATCH($A552,메뉴구조!$A$5:$A$300,0))&amp;""</f>
        <v>자택주소 1</v>
      </c>
      <c r="E552" s="19" t="str">
        <f>INDEX(메뉴구조!$E$5:$E$300,MATCH($A552,메뉴구조!$A$5:$A$300,0))&amp;""</f>
        <v>—</v>
      </c>
      <c r="F552" s="9" t="str">
        <f>INDEX(메뉴구조!$G$5:$G$300,MATCH($A552,메뉴구조!$A$5:$A$300,0))&amp;""</f>
        <v>MY / 내 정보 / 자택주소 1</v>
      </c>
      <c r="G552" s="18">
        <v>1</v>
      </c>
      <c r="H552" s="9" t="s">
        <v>1846</v>
      </c>
      <c r="I552" s="9" t="s">
        <v>1847</v>
      </c>
      <c r="J552" s="9"/>
      <c r="K552" s="25" t="s">
        <v>13</v>
      </c>
      <c r="L552" s="9" t="s">
        <v>851</v>
      </c>
      <c r="M552" s="9"/>
    </row>
    <row r="553" spans="1:13" ht="25">
      <c r="A553" s="18" t="s">
        <v>426</v>
      </c>
      <c r="B553" s="19" t="str">
        <f>INDEX(메뉴구조!$B$5:$B$300,MATCH($A553,메뉴구조!$A$5:$A$300,0))&amp;""</f>
        <v>MY</v>
      </c>
      <c r="C553" s="19" t="str">
        <f>INDEX(메뉴구조!$C$5:$C$300,MATCH($A553,메뉴구조!$A$5:$A$300,0))&amp;""</f>
        <v>내 정보</v>
      </c>
      <c r="D553" s="19" t="str">
        <f>INDEX(메뉴구조!$D$5:$D$300,MATCH($A553,메뉴구조!$A$5:$A$300,0))&amp;""</f>
        <v>자택주소 1</v>
      </c>
      <c r="E553" s="19" t="str">
        <f>INDEX(메뉴구조!$E$5:$E$300,MATCH($A553,메뉴구조!$A$5:$A$300,0))&amp;""</f>
        <v>—</v>
      </c>
      <c r="F553" s="9" t="str">
        <f>INDEX(메뉴구조!$G$5:$G$300,MATCH($A553,메뉴구조!$A$5:$A$300,0))&amp;""</f>
        <v>MY / 내 정보 / 자택주소 1</v>
      </c>
      <c r="G553" s="18">
        <v>2</v>
      </c>
      <c r="H553" s="9" t="s">
        <v>1848</v>
      </c>
      <c r="I553" s="9" t="s">
        <v>1849</v>
      </c>
      <c r="J553" s="9"/>
      <c r="K553" s="25" t="s">
        <v>13</v>
      </c>
      <c r="L553" s="9" t="s">
        <v>851</v>
      </c>
      <c r="M553" s="9"/>
    </row>
    <row r="554" spans="1:13" ht="62.5">
      <c r="A554" s="18" t="s">
        <v>429</v>
      </c>
      <c r="B554" s="19" t="str">
        <f>INDEX(메뉴구조!$B$5:$B$300,MATCH($A554,메뉴구조!$A$5:$A$300,0))&amp;""</f>
        <v>MY</v>
      </c>
      <c r="C554" s="19" t="str">
        <f>INDEX(메뉴구조!$C$5:$C$300,MATCH($A554,메뉴구조!$A$5:$A$300,0))&amp;""</f>
        <v>내 정보</v>
      </c>
      <c r="D554" s="19" t="str">
        <f>INDEX(메뉴구조!$D$5:$D$300,MATCH($A554,메뉴구조!$A$5:$A$300,0))&amp;""</f>
        <v>자택주소 2</v>
      </c>
      <c r="E554" s="19" t="str">
        <f>INDEX(메뉴구조!$E$5:$E$300,MATCH($A554,메뉴구조!$A$5:$A$300,0))&amp;""</f>
        <v>—</v>
      </c>
      <c r="F554" s="9" t="str">
        <f>INDEX(메뉴구조!$G$5:$G$300,MATCH($A554,메뉴구조!$A$5:$A$300,0))&amp;""</f>
        <v>MY / 내 정보 / 자택주소 2</v>
      </c>
      <c r="G554" s="18">
        <v>1</v>
      </c>
      <c r="H554" s="9" t="s">
        <v>1850</v>
      </c>
      <c r="I554" s="9" t="s">
        <v>1851</v>
      </c>
      <c r="J554" s="9"/>
      <c r="K554" s="25" t="s">
        <v>13</v>
      </c>
      <c r="L554" s="9" t="s">
        <v>851</v>
      </c>
      <c r="M554" s="9"/>
    </row>
    <row r="555" spans="1:13" ht="50">
      <c r="A555" s="18" t="s">
        <v>432</v>
      </c>
      <c r="B555" s="19" t="str">
        <f>INDEX(메뉴구조!$B$5:$B$300,MATCH($A555,메뉴구조!$A$5:$A$300,0))&amp;""</f>
        <v>MY</v>
      </c>
      <c r="C555" s="19" t="str">
        <f>INDEX(메뉴구조!$C$5:$C$300,MATCH($A555,메뉴구조!$A$5:$A$300,0))&amp;""</f>
        <v>내 정보</v>
      </c>
      <c r="D555" s="19" t="str">
        <f>INDEX(메뉴구조!$D$5:$D$300,MATCH($A555,메뉴구조!$A$5:$A$300,0))&amp;""</f>
        <v>직업 1</v>
      </c>
      <c r="E555" s="19" t="str">
        <f>INDEX(메뉴구조!$E$5:$E$300,MATCH($A555,메뉴구조!$A$5:$A$300,0))&amp;""</f>
        <v>—</v>
      </c>
      <c r="F555" s="9" t="str">
        <f>INDEX(메뉴구조!$G$5:$G$300,MATCH($A555,메뉴구조!$A$5:$A$300,0))&amp;""</f>
        <v>MY / 내 정보 / 직업 1</v>
      </c>
      <c r="G555" s="18">
        <v>1</v>
      </c>
      <c r="H555" s="9" t="s">
        <v>1852</v>
      </c>
      <c r="I555" s="9" t="s">
        <v>1853</v>
      </c>
      <c r="J555" s="9"/>
      <c r="K555" s="25" t="s">
        <v>13</v>
      </c>
      <c r="L555" s="9" t="s">
        <v>851</v>
      </c>
      <c r="M555" s="9"/>
    </row>
    <row r="556" spans="1:13" ht="37.5">
      <c r="A556" s="18" t="s">
        <v>432</v>
      </c>
      <c r="B556" s="19" t="str">
        <f>INDEX(메뉴구조!$B$5:$B$300,MATCH($A556,메뉴구조!$A$5:$A$300,0))&amp;""</f>
        <v>MY</v>
      </c>
      <c r="C556" s="19" t="str">
        <f>INDEX(메뉴구조!$C$5:$C$300,MATCH($A556,메뉴구조!$A$5:$A$300,0))&amp;""</f>
        <v>내 정보</v>
      </c>
      <c r="D556" s="19" t="str">
        <f>INDEX(메뉴구조!$D$5:$D$300,MATCH($A556,메뉴구조!$A$5:$A$300,0))&amp;""</f>
        <v>직업 1</v>
      </c>
      <c r="E556" s="19" t="str">
        <f>INDEX(메뉴구조!$E$5:$E$300,MATCH($A556,메뉴구조!$A$5:$A$300,0))&amp;""</f>
        <v>—</v>
      </c>
      <c r="F556" s="9" t="str">
        <f>INDEX(메뉴구조!$G$5:$G$300,MATCH($A556,메뉴구조!$A$5:$A$300,0))&amp;""</f>
        <v>MY / 내 정보 / 직업 1</v>
      </c>
      <c r="G556" s="18">
        <v>2</v>
      </c>
      <c r="H556" s="9" t="s">
        <v>1854</v>
      </c>
      <c r="I556" s="9" t="s">
        <v>1855</v>
      </c>
      <c r="J556" s="9"/>
      <c r="K556" s="25" t="s">
        <v>13</v>
      </c>
      <c r="L556" s="9" t="s">
        <v>851</v>
      </c>
      <c r="M556" s="9"/>
    </row>
    <row r="557" spans="1:13" ht="37.5">
      <c r="A557" s="18" t="s">
        <v>432</v>
      </c>
      <c r="B557" s="19" t="str">
        <f>INDEX(메뉴구조!$B$5:$B$300,MATCH($A557,메뉴구조!$A$5:$A$300,0))&amp;""</f>
        <v>MY</v>
      </c>
      <c r="C557" s="19" t="str">
        <f>INDEX(메뉴구조!$C$5:$C$300,MATCH($A557,메뉴구조!$A$5:$A$300,0))&amp;""</f>
        <v>내 정보</v>
      </c>
      <c r="D557" s="19" t="str">
        <f>INDEX(메뉴구조!$D$5:$D$300,MATCH($A557,메뉴구조!$A$5:$A$300,0))&amp;""</f>
        <v>직업 1</v>
      </c>
      <c r="E557" s="19" t="str">
        <f>INDEX(메뉴구조!$E$5:$E$300,MATCH($A557,메뉴구조!$A$5:$A$300,0))&amp;""</f>
        <v>—</v>
      </c>
      <c r="F557" s="9" t="str">
        <f>INDEX(메뉴구조!$G$5:$G$300,MATCH($A557,메뉴구조!$A$5:$A$300,0))&amp;""</f>
        <v>MY / 내 정보 / 직업 1</v>
      </c>
      <c r="G557" s="18">
        <v>3</v>
      </c>
      <c r="H557" s="9" t="s">
        <v>1856</v>
      </c>
      <c r="I557" s="9" t="s">
        <v>1857</v>
      </c>
      <c r="J557" s="9"/>
      <c r="K557" s="25" t="s">
        <v>13</v>
      </c>
      <c r="L557" s="9" t="s">
        <v>851</v>
      </c>
      <c r="M557" s="9"/>
    </row>
    <row r="558" spans="1:13" ht="25">
      <c r="A558" s="18" t="s">
        <v>435</v>
      </c>
      <c r="B558" s="19" t="str">
        <f>INDEX(메뉴구조!$B$5:$B$300,MATCH($A558,메뉴구조!$A$5:$A$300,0))&amp;""</f>
        <v>MY</v>
      </c>
      <c r="C558" s="19" t="str">
        <f>INDEX(메뉴구조!$C$5:$C$300,MATCH($A558,메뉴구조!$A$5:$A$300,0))&amp;""</f>
        <v>내 정보</v>
      </c>
      <c r="D558" s="19" t="str">
        <f>INDEX(메뉴구조!$D$5:$D$300,MATCH($A558,메뉴구조!$A$5:$A$300,0))&amp;""</f>
        <v>직업 2</v>
      </c>
      <c r="E558" s="19" t="str">
        <f>INDEX(메뉴구조!$E$5:$E$300,MATCH($A558,메뉴구조!$A$5:$A$300,0))&amp;""</f>
        <v>—</v>
      </c>
      <c r="F558" s="9" t="str">
        <f>INDEX(메뉴구조!$G$5:$G$300,MATCH($A558,메뉴구조!$A$5:$A$300,0))&amp;""</f>
        <v>MY / 내 정보 / 직업 2</v>
      </c>
      <c r="G558" s="18">
        <v>1</v>
      </c>
      <c r="H558" s="9" t="s">
        <v>1852</v>
      </c>
      <c r="I558" s="9" t="s">
        <v>1858</v>
      </c>
      <c r="J558" s="9"/>
      <c r="K558" s="25" t="s">
        <v>13</v>
      </c>
      <c r="L558" s="9" t="s">
        <v>851</v>
      </c>
      <c r="M558" s="9"/>
    </row>
    <row r="559" spans="1:13" ht="37.5">
      <c r="A559" s="18" t="s">
        <v>435</v>
      </c>
      <c r="B559" s="19" t="str">
        <f>INDEX(메뉴구조!$B$5:$B$300,MATCH($A559,메뉴구조!$A$5:$A$300,0))&amp;""</f>
        <v>MY</v>
      </c>
      <c r="C559" s="19" t="str">
        <f>INDEX(메뉴구조!$C$5:$C$300,MATCH($A559,메뉴구조!$A$5:$A$300,0))&amp;""</f>
        <v>내 정보</v>
      </c>
      <c r="D559" s="19" t="str">
        <f>INDEX(메뉴구조!$D$5:$D$300,MATCH($A559,메뉴구조!$A$5:$A$300,0))&amp;""</f>
        <v>직업 2</v>
      </c>
      <c r="E559" s="19" t="str">
        <f>INDEX(메뉴구조!$E$5:$E$300,MATCH($A559,메뉴구조!$A$5:$A$300,0))&amp;""</f>
        <v>—</v>
      </c>
      <c r="F559" s="9" t="str">
        <f>INDEX(메뉴구조!$G$5:$G$300,MATCH($A559,메뉴구조!$A$5:$A$300,0))&amp;""</f>
        <v>MY / 내 정보 / 직업 2</v>
      </c>
      <c r="G559" s="18">
        <v>2</v>
      </c>
      <c r="H559" s="9" t="s">
        <v>1859</v>
      </c>
      <c r="I559" s="9" t="s">
        <v>1860</v>
      </c>
      <c r="J559" s="9"/>
      <c r="K559" s="25" t="s">
        <v>13</v>
      </c>
      <c r="L559" s="9" t="s">
        <v>851</v>
      </c>
      <c r="M559" s="9"/>
    </row>
    <row r="560" spans="1:13" ht="37.5">
      <c r="A560" s="18" t="s">
        <v>435</v>
      </c>
      <c r="B560" s="19" t="str">
        <f>INDEX(메뉴구조!$B$5:$B$300,MATCH($A560,메뉴구조!$A$5:$A$300,0))&amp;""</f>
        <v>MY</v>
      </c>
      <c r="C560" s="19" t="str">
        <f>INDEX(메뉴구조!$C$5:$C$300,MATCH($A560,메뉴구조!$A$5:$A$300,0))&amp;""</f>
        <v>내 정보</v>
      </c>
      <c r="D560" s="19" t="str">
        <f>INDEX(메뉴구조!$D$5:$D$300,MATCH($A560,메뉴구조!$A$5:$A$300,0))&amp;""</f>
        <v>직업 2</v>
      </c>
      <c r="E560" s="19" t="str">
        <f>INDEX(메뉴구조!$E$5:$E$300,MATCH($A560,메뉴구조!$A$5:$A$300,0))&amp;""</f>
        <v>—</v>
      </c>
      <c r="F560" s="9" t="str">
        <f>INDEX(메뉴구조!$G$5:$G$300,MATCH($A560,메뉴구조!$A$5:$A$300,0))&amp;""</f>
        <v>MY / 내 정보 / 직업 2</v>
      </c>
      <c r="G560" s="18">
        <v>3</v>
      </c>
      <c r="H560" s="9" t="s">
        <v>1856</v>
      </c>
      <c r="I560" s="9" t="s">
        <v>1861</v>
      </c>
      <c r="J560" s="9"/>
      <c r="K560" s="25" t="s">
        <v>13</v>
      </c>
      <c r="L560" s="9" t="s">
        <v>851</v>
      </c>
      <c r="M560" s="9"/>
    </row>
    <row r="561" spans="1:13" ht="25">
      <c r="A561" s="18" t="s">
        <v>438</v>
      </c>
      <c r="B561" s="19" t="str">
        <f>INDEX(메뉴구조!$B$5:$B$300,MATCH($A561,메뉴구조!$A$5:$A$300,0))&amp;""</f>
        <v>MY</v>
      </c>
      <c r="C561" s="19" t="str">
        <f>INDEX(메뉴구조!$C$5:$C$300,MATCH($A561,메뉴구조!$A$5:$A$300,0))&amp;""</f>
        <v>내 정보</v>
      </c>
      <c r="D561" s="19" t="str">
        <f>INDEX(메뉴구조!$D$5:$D$300,MATCH($A561,메뉴구조!$A$5:$A$300,0))&amp;""</f>
        <v>직업 3</v>
      </c>
      <c r="E561" s="19" t="str">
        <f>INDEX(메뉴구조!$E$5:$E$300,MATCH($A561,메뉴구조!$A$5:$A$300,0))&amp;""</f>
        <v>—</v>
      </c>
      <c r="F561" s="9" t="str">
        <f>INDEX(메뉴구조!$G$5:$G$300,MATCH($A561,메뉴구조!$A$5:$A$300,0))&amp;""</f>
        <v>MY / 내 정보 / 직업 3</v>
      </c>
      <c r="G561" s="18">
        <v>1</v>
      </c>
      <c r="H561" s="9" t="s">
        <v>1852</v>
      </c>
      <c r="I561" s="9" t="s">
        <v>1858</v>
      </c>
      <c r="J561" s="9"/>
      <c r="K561" s="25" t="s">
        <v>13</v>
      </c>
      <c r="L561" s="9" t="s">
        <v>851</v>
      </c>
      <c r="M561" s="9"/>
    </row>
    <row r="562" spans="1:13" ht="37.5">
      <c r="A562" s="18" t="s">
        <v>438</v>
      </c>
      <c r="B562" s="19" t="str">
        <f>INDEX(메뉴구조!$B$5:$B$300,MATCH($A562,메뉴구조!$A$5:$A$300,0))&amp;""</f>
        <v>MY</v>
      </c>
      <c r="C562" s="19" t="str">
        <f>INDEX(메뉴구조!$C$5:$C$300,MATCH($A562,메뉴구조!$A$5:$A$300,0))&amp;""</f>
        <v>내 정보</v>
      </c>
      <c r="D562" s="19" t="str">
        <f>INDEX(메뉴구조!$D$5:$D$300,MATCH($A562,메뉴구조!$A$5:$A$300,0))&amp;""</f>
        <v>직업 3</v>
      </c>
      <c r="E562" s="19" t="str">
        <f>INDEX(메뉴구조!$E$5:$E$300,MATCH($A562,메뉴구조!$A$5:$A$300,0))&amp;""</f>
        <v>—</v>
      </c>
      <c r="F562" s="9" t="str">
        <f>INDEX(메뉴구조!$G$5:$G$300,MATCH($A562,메뉴구조!$A$5:$A$300,0))&amp;""</f>
        <v>MY / 내 정보 / 직업 3</v>
      </c>
      <c r="G562" s="18">
        <v>2</v>
      </c>
      <c r="H562" s="9" t="s">
        <v>1862</v>
      </c>
      <c r="I562" s="9" t="s">
        <v>1863</v>
      </c>
      <c r="J562" s="9"/>
      <c r="K562" s="25" t="s">
        <v>13</v>
      </c>
      <c r="L562" s="9" t="s">
        <v>851</v>
      </c>
      <c r="M562" s="9"/>
    </row>
    <row r="563" spans="1:13" ht="37.5">
      <c r="A563" s="18" t="s">
        <v>438</v>
      </c>
      <c r="B563" s="19" t="str">
        <f>INDEX(메뉴구조!$B$5:$B$300,MATCH($A563,메뉴구조!$A$5:$A$300,0))&amp;""</f>
        <v>MY</v>
      </c>
      <c r="C563" s="19" t="str">
        <f>INDEX(메뉴구조!$C$5:$C$300,MATCH($A563,메뉴구조!$A$5:$A$300,0))&amp;""</f>
        <v>내 정보</v>
      </c>
      <c r="D563" s="19" t="str">
        <f>INDEX(메뉴구조!$D$5:$D$300,MATCH($A563,메뉴구조!$A$5:$A$300,0))&amp;""</f>
        <v>직업 3</v>
      </c>
      <c r="E563" s="19" t="str">
        <f>INDEX(메뉴구조!$E$5:$E$300,MATCH($A563,메뉴구조!$A$5:$A$300,0))&amp;""</f>
        <v>—</v>
      </c>
      <c r="F563" s="9" t="str">
        <f>INDEX(메뉴구조!$G$5:$G$300,MATCH($A563,메뉴구조!$A$5:$A$300,0))&amp;""</f>
        <v>MY / 내 정보 / 직업 3</v>
      </c>
      <c r="G563" s="18">
        <v>3</v>
      </c>
      <c r="H563" s="9" t="s">
        <v>1856</v>
      </c>
      <c r="I563" s="9" t="s">
        <v>1864</v>
      </c>
      <c r="J563" s="9"/>
      <c r="K563" s="25" t="s">
        <v>13</v>
      </c>
      <c r="L563" s="9" t="s">
        <v>851</v>
      </c>
      <c r="M563" s="9"/>
    </row>
    <row r="564" spans="1:13" ht="75">
      <c r="A564" s="18" t="s">
        <v>441</v>
      </c>
      <c r="B564" s="19" t="str">
        <f>INDEX(메뉴구조!$B$5:$B$300,MATCH($A564,메뉴구조!$A$5:$A$300,0))&amp;""</f>
        <v>MY</v>
      </c>
      <c r="C564" s="19" t="str">
        <f>INDEX(메뉴구조!$C$5:$C$300,MATCH($A564,메뉴구조!$A$5:$A$300,0))&amp;""</f>
        <v>내 정보</v>
      </c>
      <c r="D564" s="19" t="str">
        <f>INDEX(메뉴구조!$D$5:$D$300,MATCH($A564,메뉴구조!$A$5:$A$300,0))&amp;""</f>
        <v>투자 성향 분석</v>
      </c>
      <c r="E564" s="19" t="str">
        <f>INDEX(메뉴구조!$E$5:$E$300,MATCH($A564,메뉴구조!$A$5:$A$300,0))&amp;""</f>
        <v>실시 Q1</v>
      </c>
      <c r="F564" s="9" t="str">
        <f>INDEX(메뉴구조!$G$5:$G$300,MATCH($A564,메뉴구조!$A$5:$A$300,0))&amp;""</f>
        <v>MY / 내 정보 / 투자 성향 분석 / 실시 Q1</v>
      </c>
      <c r="G564" s="18">
        <v>1</v>
      </c>
      <c r="H564" s="9" t="s">
        <v>1865</v>
      </c>
      <c r="I564" s="9" t="s">
        <v>1866</v>
      </c>
      <c r="J564" s="9" t="s">
        <v>1867</v>
      </c>
      <c r="K564" s="25" t="s">
        <v>13</v>
      </c>
      <c r="L564" s="9" t="s">
        <v>851</v>
      </c>
      <c r="M564" s="9"/>
    </row>
    <row r="565" spans="1:13" ht="50">
      <c r="A565" s="18" t="s">
        <v>441</v>
      </c>
      <c r="B565" s="19" t="str">
        <f>INDEX(메뉴구조!$B$5:$B$300,MATCH($A565,메뉴구조!$A$5:$A$300,0))&amp;""</f>
        <v>MY</v>
      </c>
      <c r="C565" s="19" t="str">
        <f>INDEX(메뉴구조!$C$5:$C$300,MATCH($A565,메뉴구조!$A$5:$A$300,0))&amp;""</f>
        <v>내 정보</v>
      </c>
      <c r="D565" s="19" t="str">
        <f>INDEX(메뉴구조!$D$5:$D$300,MATCH($A565,메뉴구조!$A$5:$A$300,0))&amp;""</f>
        <v>투자 성향 분석</v>
      </c>
      <c r="E565" s="19" t="str">
        <f>INDEX(메뉴구조!$E$5:$E$300,MATCH($A565,메뉴구조!$A$5:$A$300,0))&amp;""</f>
        <v>실시 Q1</v>
      </c>
      <c r="F565" s="9" t="str">
        <f>INDEX(메뉴구조!$G$5:$G$300,MATCH($A565,메뉴구조!$A$5:$A$300,0))&amp;""</f>
        <v>MY / 내 정보 / 투자 성향 분석 / 실시 Q1</v>
      </c>
      <c r="G565" s="18">
        <v>2</v>
      </c>
      <c r="H565" s="9" t="s">
        <v>1868</v>
      </c>
      <c r="I565" s="9" t="s">
        <v>1869</v>
      </c>
      <c r="J565" s="9"/>
      <c r="K565" s="25" t="s">
        <v>13</v>
      </c>
      <c r="L565" s="9" t="s">
        <v>851</v>
      </c>
      <c r="M565" s="9"/>
    </row>
    <row r="566" spans="1:13" ht="25">
      <c r="A566" s="18" t="s">
        <v>446</v>
      </c>
      <c r="B566" s="19" t="str">
        <f>INDEX(메뉴구조!$B$5:$B$300,MATCH($A566,메뉴구조!$A$5:$A$300,0))&amp;""</f>
        <v>MY</v>
      </c>
      <c r="C566" s="19" t="str">
        <f>INDEX(메뉴구조!$C$5:$C$300,MATCH($A566,메뉴구조!$A$5:$A$300,0))&amp;""</f>
        <v>내 정보</v>
      </c>
      <c r="D566" s="19" t="str">
        <f>INDEX(메뉴구조!$D$5:$D$300,MATCH($A566,메뉴구조!$A$5:$A$300,0))&amp;""</f>
        <v>투자 성향 분석</v>
      </c>
      <c r="E566" s="19" t="str">
        <f>INDEX(메뉴구조!$E$5:$E$300,MATCH($A566,메뉴구조!$A$5:$A$300,0))&amp;""</f>
        <v>실시 Q2</v>
      </c>
      <c r="F566" s="9" t="str">
        <f>INDEX(메뉴구조!$G$5:$G$300,MATCH($A566,메뉴구조!$A$5:$A$300,0))&amp;""</f>
        <v>MY / 내 정보 / 투자 성향 분석 / 실시 Q2</v>
      </c>
      <c r="G566" s="18">
        <v>1</v>
      </c>
      <c r="H566" s="9" t="s">
        <v>1870</v>
      </c>
      <c r="I566" s="9" t="s">
        <v>1871</v>
      </c>
      <c r="J566" s="9"/>
      <c r="K566" s="30" t="s">
        <v>11</v>
      </c>
      <c r="L566" s="9" t="s">
        <v>1474</v>
      </c>
      <c r="M566" s="9"/>
    </row>
    <row r="567" spans="1:13" ht="37.5">
      <c r="A567" s="18" t="s">
        <v>446</v>
      </c>
      <c r="B567" s="19" t="str">
        <f>INDEX(메뉴구조!$B$5:$B$300,MATCH($A567,메뉴구조!$A$5:$A$300,0))&amp;""</f>
        <v>MY</v>
      </c>
      <c r="C567" s="19" t="str">
        <f>INDEX(메뉴구조!$C$5:$C$300,MATCH($A567,메뉴구조!$A$5:$A$300,0))&amp;""</f>
        <v>내 정보</v>
      </c>
      <c r="D567" s="19" t="str">
        <f>INDEX(메뉴구조!$D$5:$D$300,MATCH($A567,메뉴구조!$A$5:$A$300,0))&amp;""</f>
        <v>투자 성향 분석</v>
      </c>
      <c r="E567" s="19" t="str">
        <f>INDEX(메뉴구조!$E$5:$E$300,MATCH($A567,메뉴구조!$A$5:$A$300,0))&amp;""</f>
        <v>실시 Q2</v>
      </c>
      <c r="F567" s="9" t="str">
        <f>INDEX(메뉴구조!$G$5:$G$300,MATCH($A567,메뉴구조!$A$5:$A$300,0))&amp;""</f>
        <v>MY / 내 정보 / 투자 성향 분석 / 실시 Q2</v>
      </c>
      <c r="G567" s="18">
        <v>2</v>
      </c>
      <c r="H567" s="9" t="s">
        <v>1872</v>
      </c>
      <c r="I567" s="9" t="s">
        <v>1873</v>
      </c>
      <c r="J567" s="9"/>
      <c r="K567" s="30" t="s">
        <v>11</v>
      </c>
      <c r="L567" s="9" t="s">
        <v>1474</v>
      </c>
      <c r="M567" s="9"/>
    </row>
    <row r="568" spans="1:13" ht="25">
      <c r="A568" s="18" t="s">
        <v>446</v>
      </c>
      <c r="B568" s="19" t="str">
        <f>INDEX(메뉴구조!$B$5:$B$300,MATCH($A568,메뉴구조!$A$5:$A$300,0))&amp;""</f>
        <v>MY</v>
      </c>
      <c r="C568" s="19" t="str">
        <f>INDEX(메뉴구조!$C$5:$C$300,MATCH($A568,메뉴구조!$A$5:$A$300,0))&amp;""</f>
        <v>내 정보</v>
      </c>
      <c r="D568" s="19" t="str">
        <f>INDEX(메뉴구조!$D$5:$D$300,MATCH($A568,메뉴구조!$A$5:$A$300,0))&amp;""</f>
        <v>투자 성향 분석</v>
      </c>
      <c r="E568" s="19" t="str">
        <f>INDEX(메뉴구조!$E$5:$E$300,MATCH($A568,메뉴구조!$A$5:$A$300,0))&amp;""</f>
        <v>실시 Q2</v>
      </c>
      <c r="F568" s="9" t="str">
        <f>INDEX(메뉴구조!$G$5:$G$300,MATCH($A568,메뉴구조!$A$5:$A$300,0))&amp;""</f>
        <v>MY / 내 정보 / 투자 성향 분석 / 실시 Q2</v>
      </c>
      <c r="G568" s="18">
        <v>3</v>
      </c>
      <c r="H568" s="9" t="s">
        <v>1874</v>
      </c>
      <c r="I568" s="9" t="s">
        <v>1875</v>
      </c>
      <c r="J568" s="9"/>
      <c r="K568" s="30" t="s">
        <v>11</v>
      </c>
      <c r="L568" s="9" t="s">
        <v>1474</v>
      </c>
      <c r="M568" s="9"/>
    </row>
    <row r="569" spans="1:13">
      <c r="A569" s="18" t="s">
        <v>450</v>
      </c>
      <c r="B569" s="19" t="str">
        <f>INDEX(메뉴구조!$B$5:$B$300,MATCH($A569,메뉴구조!$A$5:$A$300,0))&amp;""</f>
        <v>MY</v>
      </c>
      <c r="C569" s="19" t="str">
        <f>INDEX(메뉴구조!$C$5:$C$300,MATCH($A569,메뉴구조!$A$5:$A$300,0))&amp;""</f>
        <v>내 정보</v>
      </c>
      <c r="D569" s="19" t="str">
        <f>INDEX(메뉴구조!$D$5:$D$300,MATCH($A569,메뉴구조!$A$5:$A$300,0))&amp;""</f>
        <v>투자 성향 분석</v>
      </c>
      <c r="E569" s="19" t="str">
        <f>INDEX(메뉴구조!$E$5:$E$300,MATCH($A569,메뉴구조!$A$5:$A$300,0))&amp;""</f>
        <v>실시 Q3</v>
      </c>
      <c r="F569" s="9" t="str">
        <f>INDEX(메뉴구조!$G$5:$G$300,MATCH($A569,메뉴구조!$A$5:$A$300,0))&amp;""</f>
        <v>MY / 내 정보 / 투자 성향 분석 / 실시 Q3</v>
      </c>
      <c r="G569" s="18">
        <v>1</v>
      </c>
      <c r="H569" s="9" t="s">
        <v>1876</v>
      </c>
      <c r="I569" s="9" t="s">
        <v>1877</v>
      </c>
      <c r="J569" s="9"/>
      <c r="K569" s="30" t="s">
        <v>11</v>
      </c>
      <c r="L569" s="9" t="s">
        <v>1474</v>
      </c>
      <c r="M569" s="9"/>
    </row>
    <row r="570" spans="1:13" ht="50">
      <c r="A570" s="18" t="s">
        <v>450</v>
      </c>
      <c r="B570" s="19" t="str">
        <f>INDEX(메뉴구조!$B$5:$B$300,MATCH($A570,메뉴구조!$A$5:$A$300,0))&amp;""</f>
        <v>MY</v>
      </c>
      <c r="C570" s="19" t="str">
        <f>INDEX(메뉴구조!$C$5:$C$300,MATCH($A570,메뉴구조!$A$5:$A$300,0))&amp;""</f>
        <v>내 정보</v>
      </c>
      <c r="D570" s="19" t="str">
        <f>INDEX(메뉴구조!$D$5:$D$300,MATCH($A570,메뉴구조!$A$5:$A$300,0))&amp;""</f>
        <v>투자 성향 분석</v>
      </c>
      <c r="E570" s="19" t="str">
        <f>INDEX(메뉴구조!$E$5:$E$300,MATCH($A570,메뉴구조!$A$5:$A$300,0))&amp;""</f>
        <v>실시 Q3</v>
      </c>
      <c r="F570" s="9" t="str">
        <f>INDEX(메뉴구조!$G$5:$G$300,MATCH($A570,메뉴구조!$A$5:$A$300,0))&amp;""</f>
        <v>MY / 내 정보 / 투자 성향 분석 / 실시 Q3</v>
      </c>
      <c r="G570" s="18">
        <v>2</v>
      </c>
      <c r="H570" s="9" t="s">
        <v>1878</v>
      </c>
      <c r="I570" s="9" t="s">
        <v>1879</v>
      </c>
      <c r="J570" s="9"/>
      <c r="K570" s="30" t="s">
        <v>11</v>
      </c>
      <c r="L570" s="9" t="s">
        <v>1474</v>
      </c>
      <c r="M570" s="9"/>
    </row>
    <row r="571" spans="1:13">
      <c r="A571" s="18" t="s">
        <v>450</v>
      </c>
      <c r="B571" s="19" t="str">
        <f>INDEX(메뉴구조!$B$5:$B$300,MATCH($A571,메뉴구조!$A$5:$A$300,0))&amp;""</f>
        <v>MY</v>
      </c>
      <c r="C571" s="19" t="str">
        <f>INDEX(메뉴구조!$C$5:$C$300,MATCH($A571,메뉴구조!$A$5:$A$300,0))&amp;""</f>
        <v>내 정보</v>
      </c>
      <c r="D571" s="19" t="str">
        <f>INDEX(메뉴구조!$D$5:$D$300,MATCH($A571,메뉴구조!$A$5:$A$300,0))&amp;""</f>
        <v>투자 성향 분석</v>
      </c>
      <c r="E571" s="19" t="str">
        <f>INDEX(메뉴구조!$E$5:$E$300,MATCH($A571,메뉴구조!$A$5:$A$300,0))&amp;""</f>
        <v>실시 Q3</v>
      </c>
      <c r="F571" s="9" t="str">
        <f>INDEX(메뉴구조!$G$5:$G$300,MATCH($A571,메뉴구조!$A$5:$A$300,0))&amp;""</f>
        <v>MY / 내 정보 / 투자 성향 분석 / 실시 Q3</v>
      </c>
      <c r="G571" s="18">
        <v>3</v>
      </c>
      <c r="H571" s="9" t="s">
        <v>1874</v>
      </c>
      <c r="I571" s="9"/>
      <c r="J571" s="9"/>
      <c r="K571" s="30" t="s">
        <v>11</v>
      </c>
      <c r="L571" s="9" t="s">
        <v>1474</v>
      </c>
      <c r="M571" s="9"/>
    </row>
    <row r="572" spans="1:13" ht="25">
      <c r="A572" s="18" t="s">
        <v>454</v>
      </c>
      <c r="B572" s="19" t="str">
        <f>INDEX(메뉴구조!$B$5:$B$300,MATCH($A572,메뉴구조!$A$5:$A$300,0))&amp;""</f>
        <v>MY</v>
      </c>
      <c r="C572" s="19" t="str">
        <f>INDEX(메뉴구조!$C$5:$C$300,MATCH($A572,메뉴구조!$A$5:$A$300,0))&amp;""</f>
        <v>내 정보</v>
      </c>
      <c r="D572" s="19" t="str">
        <f>INDEX(메뉴구조!$D$5:$D$300,MATCH($A572,메뉴구조!$A$5:$A$300,0))&amp;""</f>
        <v>투자 성향 분석</v>
      </c>
      <c r="E572" s="19" t="str">
        <f>INDEX(메뉴구조!$E$5:$E$300,MATCH($A572,메뉴구조!$A$5:$A$300,0))&amp;""</f>
        <v>실시 Q4</v>
      </c>
      <c r="F572" s="9" t="str">
        <f>INDEX(메뉴구조!$G$5:$G$300,MATCH($A572,메뉴구조!$A$5:$A$300,0))&amp;""</f>
        <v>MY / 내 정보 / 투자 성향 분석 / 실시 Q4</v>
      </c>
      <c r="G572" s="18">
        <v>1</v>
      </c>
      <c r="H572" s="9" t="s">
        <v>1880</v>
      </c>
      <c r="I572" s="9" t="s">
        <v>1881</v>
      </c>
      <c r="J572" s="9"/>
      <c r="K572" s="30" t="s">
        <v>11</v>
      </c>
      <c r="L572" s="9" t="s">
        <v>1474</v>
      </c>
      <c r="M572" s="9"/>
    </row>
    <row r="573" spans="1:13" ht="25">
      <c r="A573" s="18" t="s">
        <v>454</v>
      </c>
      <c r="B573" s="19" t="str">
        <f>INDEX(메뉴구조!$B$5:$B$300,MATCH($A573,메뉴구조!$A$5:$A$300,0))&amp;""</f>
        <v>MY</v>
      </c>
      <c r="C573" s="19" t="str">
        <f>INDEX(메뉴구조!$C$5:$C$300,MATCH($A573,메뉴구조!$A$5:$A$300,0))&amp;""</f>
        <v>내 정보</v>
      </c>
      <c r="D573" s="19" t="str">
        <f>INDEX(메뉴구조!$D$5:$D$300,MATCH($A573,메뉴구조!$A$5:$A$300,0))&amp;""</f>
        <v>투자 성향 분석</v>
      </c>
      <c r="E573" s="19" t="str">
        <f>INDEX(메뉴구조!$E$5:$E$300,MATCH($A573,메뉴구조!$A$5:$A$300,0))&amp;""</f>
        <v>실시 Q4</v>
      </c>
      <c r="F573" s="9" t="str">
        <f>INDEX(메뉴구조!$G$5:$G$300,MATCH($A573,메뉴구조!$A$5:$A$300,0))&amp;""</f>
        <v>MY / 내 정보 / 투자 성향 분석 / 실시 Q4</v>
      </c>
      <c r="G573" s="18">
        <v>2</v>
      </c>
      <c r="H573" s="9" t="s">
        <v>1872</v>
      </c>
      <c r="I573" s="9" t="s">
        <v>1882</v>
      </c>
      <c r="J573" s="9"/>
      <c r="K573" s="30" t="s">
        <v>11</v>
      </c>
      <c r="L573" s="9" t="s">
        <v>1474</v>
      </c>
      <c r="M573" s="9"/>
    </row>
    <row r="574" spans="1:13">
      <c r="A574" s="18" t="s">
        <v>454</v>
      </c>
      <c r="B574" s="19" t="str">
        <f>INDEX(메뉴구조!$B$5:$B$300,MATCH($A574,메뉴구조!$A$5:$A$300,0))&amp;""</f>
        <v>MY</v>
      </c>
      <c r="C574" s="19" t="str">
        <f>INDEX(메뉴구조!$C$5:$C$300,MATCH($A574,메뉴구조!$A$5:$A$300,0))&amp;""</f>
        <v>내 정보</v>
      </c>
      <c r="D574" s="19" t="str">
        <f>INDEX(메뉴구조!$D$5:$D$300,MATCH($A574,메뉴구조!$A$5:$A$300,0))&amp;""</f>
        <v>투자 성향 분석</v>
      </c>
      <c r="E574" s="19" t="str">
        <f>INDEX(메뉴구조!$E$5:$E$300,MATCH($A574,메뉴구조!$A$5:$A$300,0))&amp;""</f>
        <v>실시 Q4</v>
      </c>
      <c r="F574" s="9" t="str">
        <f>INDEX(메뉴구조!$G$5:$G$300,MATCH($A574,메뉴구조!$A$5:$A$300,0))&amp;""</f>
        <v>MY / 내 정보 / 투자 성향 분석 / 실시 Q4</v>
      </c>
      <c r="G574" s="18">
        <v>3</v>
      </c>
      <c r="H574" s="9" t="s">
        <v>1874</v>
      </c>
      <c r="I574" s="9"/>
      <c r="J574" s="9"/>
      <c r="K574" s="30" t="s">
        <v>11</v>
      </c>
      <c r="L574" s="9" t="s">
        <v>1474</v>
      </c>
      <c r="M574" s="9"/>
    </row>
    <row r="575" spans="1:13" ht="25">
      <c r="A575" s="18" t="s">
        <v>458</v>
      </c>
      <c r="B575" s="19" t="str">
        <f>INDEX(메뉴구조!$B$5:$B$300,MATCH($A575,메뉴구조!$A$5:$A$300,0))&amp;""</f>
        <v>MY</v>
      </c>
      <c r="C575" s="19" t="str">
        <f>INDEX(메뉴구조!$C$5:$C$300,MATCH($A575,메뉴구조!$A$5:$A$300,0))&amp;""</f>
        <v>내 정보</v>
      </c>
      <c r="D575" s="19" t="str">
        <f>INDEX(메뉴구조!$D$5:$D$300,MATCH($A575,메뉴구조!$A$5:$A$300,0))&amp;""</f>
        <v>투자 성향 분석</v>
      </c>
      <c r="E575" s="19" t="str">
        <f>INDEX(메뉴구조!$E$5:$E$300,MATCH($A575,메뉴구조!$A$5:$A$300,0))&amp;""</f>
        <v>실시 Q5</v>
      </c>
      <c r="F575" s="9" t="str">
        <f>INDEX(메뉴구조!$G$5:$G$300,MATCH($A575,메뉴구조!$A$5:$A$300,0))&amp;""</f>
        <v>MY / 내 정보 / 투자 성향 분석 / 실시 Q5</v>
      </c>
      <c r="G575" s="18">
        <v>1</v>
      </c>
      <c r="H575" s="9" t="s">
        <v>1883</v>
      </c>
      <c r="I575" s="9" t="s">
        <v>1884</v>
      </c>
      <c r="J575" s="9"/>
      <c r="K575" s="30" t="s">
        <v>11</v>
      </c>
      <c r="L575" s="9" t="s">
        <v>1474</v>
      </c>
      <c r="M575" s="9"/>
    </row>
    <row r="576" spans="1:13">
      <c r="A576" s="18" t="s">
        <v>458</v>
      </c>
      <c r="B576" s="19" t="str">
        <f>INDEX(메뉴구조!$B$5:$B$300,MATCH($A576,메뉴구조!$A$5:$A$300,0))&amp;""</f>
        <v>MY</v>
      </c>
      <c r="C576" s="19" t="str">
        <f>INDEX(메뉴구조!$C$5:$C$300,MATCH($A576,메뉴구조!$A$5:$A$300,0))&amp;""</f>
        <v>내 정보</v>
      </c>
      <c r="D576" s="19" t="str">
        <f>INDEX(메뉴구조!$D$5:$D$300,MATCH($A576,메뉴구조!$A$5:$A$300,0))&amp;""</f>
        <v>투자 성향 분석</v>
      </c>
      <c r="E576" s="19" t="str">
        <f>INDEX(메뉴구조!$E$5:$E$300,MATCH($A576,메뉴구조!$A$5:$A$300,0))&amp;""</f>
        <v>실시 Q5</v>
      </c>
      <c r="F576" s="9" t="str">
        <f>INDEX(메뉴구조!$G$5:$G$300,MATCH($A576,메뉴구조!$A$5:$A$300,0))&amp;""</f>
        <v>MY / 내 정보 / 투자 성향 분석 / 실시 Q5</v>
      </c>
      <c r="G576" s="18">
        <v>2</v>
      </c>
      <c r="H576" s="9" t="s">
        <v>1872</v>
      </c>
      <c r="I576" s="9" t="s">
        <v>1885</v>
      </c>
      <c r="J576" s="9"/>
      <c r="K576" s="30" t="s">
        <v>11</v>
      </c>
      <c r="L576" s="9" t="s">
        <v>1474</v>
      </c>
      <c r="M576" s="9"/>
    </row>
    <row r="577" spans="1:13">
      <c r="A577" s="18" t="s">
        <v>458</v>
      </c>
      <c r="B577" s="19" t="str">
        <f>INDEX(메뉴구조!$B$5:$B$300,MATCH($A577,메뉴구조!$A$5:$A$300,0))&amp;""</f>
        <v>MY</v>
      </c>
      <c r="C577" s="19" t="str">
        <f>INDEX(메뉴구조!$C$5:$C$300,MATCH($A577,메뉴구조!$A$5:$A$300,0))&amp;""</f>
        <v>내 정보</v>
      </c>
      <c r="D577" s="19" t="str">
        <f>INDEX(메뉴구조!$D$5:$D$300,MATCH($A577,메뉴구조!$A$5:$A$300,0))&amp;""</f>
        <v>투자 성향 분석</v>
      </c>
      <c r="E577" s="19" t="str">
        <f>INDEX(메뉴구조!$E$5:$E$300,MATCH($A577,메뉴구조!$A$5:$A$300,0))&amp;""</f>
        <v>실시 Q5</v>
      </c>
      <c r="F577" s="9" t="str">
        <f>INDEX(메뉴구조!$G$5:$G$300,MATCH($A577,메뉴구조!$A$5:$A$300,0))&amp;""</f>
        <v>MY / 내 정보 / 투자 성향 분석 / 실시 Q5</v>
      </c>
      <c r="G577" s="18">
        <v>3</v>
      </c>
      <c r="H577" s="9" t="s">
        <v>1874</v>
      </c>
      <c r="I577" s="9"/>
      <c r="J577" s="9"/>
      <c r="K577" s="30" t="s">
        <v>11</v>
      </c>
      <c r="L577" s="9" t="s">
        <v>1474</v>
      </c>
      <c r="M577" s="9"/>
    </row>
    <row r="578" spans="1:13">
      <c r="A578" s="18" t="s">
        <v>462</v>
      </c>
      <c r="B578" s="19" t="str">
        <f>INDEX(메뉴구조!$B$5:$B$300,MATCH($A578,메뉴구조!$A$5:$A$300,0))&amp;""</f>
        <v>MY</v>
      </c>
      <c r="C578" s="19" t="str">
        <f>INDEX(메뉴구조!$C$5:$C$300,MATCH($A578,메뉴구조!$A$5:$A$300,0))&amp;""</f>
        <v>내 정보</v>
      </c>
      <c r="D578" s="19" t="str">
        <f>INDEX(메뉴구조!$D$5:$D$300,MATCH($A578,메뉴구조!$A$5:$A$300,0))&amp;""</f>
        <v>투자 성향 분석</v>
      </c>
      <c r="E578" s="19" t="str">
        <f>INDEX(메뉴구조!$E$5:$E$300,MATCH($A578,메뉴구조!$A$5:$A$300,0))&amp;""</f>
        <v>실시 Q6</v>
      </c>
      <c r="F578" s="9" t="str">
        <f>INDEX(메뉴구조!$G$5:$G$300,MATCH($A578,메뉴구조!$A$5:$A$300,0))&amp;""</f>
        <v>MY / 내 정보 / 투자 성향 분석 / 실시 Q6</v>
      </c>
      <c r="G578" s="18">
        <v>1</v>
      </c>
      <c r="H578" s="9" t="s">
        <v>1886</v>
      </c>
      <c r="I578" s="9" t="s">
        <v>1887</v>
      </c>
      <c r="J578" s="9"/>
      <c r="K578" s="30" t="s">
        <v>11</v>
      </c>
      <c r="L578" s="9" t="s">
        <v>1474</v>
      </c>
      <c r="M578" s="9"/>
    </row>
    <row r="579" spans="1:13" ht="25">
      <c r="A579" s="18" t="s">
        <v>462</v>
      </c>
      <c r="B579" s="19" t="str">
        <f>INDEX(메뉴구조!$B$5:$B$300,MATCH($A579,메뉴구조!$A$5:$A$300,0))&amp;""</f>
        <v>MY</v>
      </c>
      <c r="C579" s="19" t="str">
        <f>INDEX(메뉴구조!$C$5:$C$300,MATCH($A579,메뉴구조!$A$5:$A$300,0))&amp;""</f>
        <v>내 정보</v>
      </c>
      <c r="D579" s="19" t="str">
        <f>INDEX(메뉴구조!$D$5:$D$300,MATCH($A579,메뉴구조!$A$5:$A$300,0))&amp;""</f>
        <v>투자 성향 분석</v>
      </c>
      <c r="E579" s="19" t="str">
        <f>INDEX(메뉴구조!$E$5:$E$300,MATCH($A579,메뉴구조!$A$5:$A$300,0))&amp;""</f>
        <v>실시 Q6</v>
      </c>
      <c r="F579" s="9" t="str">
        <f>INDEX(메뉴구조!$G$5:$G$300,MATCH($A579,메뉴구조!$A$5:$A$300,0))&amp;""</f>
        <v>MY / 내 정보 / 투자 성향 분석 / 실시 Q6</v>
      </c>
      <c r="G579" s="18">
        <v>2</v>
      </c>
      <c r="H579" s="9" t="s">
        <v>1872</v>
      </c>
      <c r="I579" s="9" t="s">
        <v>1888</v>
      </c>
      <c r="J579" s="9"/>
      <c r="K579" s="30" t="s">
        <v>11</v>
      </c>
      <c r="L579" s="9" t="s">
        <v>1474</v>
      </c>
      <c r="M579" s="9"/>
    </row>
    <row r="580" spans="1:13" ht="75">
      <c r="A580" s="18" t="s">
        <v>462</v>
      </c>
      <c r="B580" s="19" t="str">
        <f>INDEX(메뉴구조!$B$5:$B$300,MATCH($A580,메뉴구조!$A$5:$A$300,0))&amp;""</f>
        <v>MY</v>
      </c>
      <c r="C580" s="19" t="str">
        <f>INDEX(메뉴구조!$C$5:$C$300,MATCH($A580,메뉴구조!$A$5:$A$300,0))&amp;""</f>
        <v>내 정보</v>
      </c>
      <c r="D580" s="19" t="str">
        <f>INDEX(메뉴구조!$D$5:$D$300,MATCH($A580,메뉴구조!$A$5:$A$300,0))&amp;""</f>
        <v>투자 성향 분석</v>
      </c>
      <c r="E580" s="19" t="str">
        <f>INDEX(메뉴구조!$E$5:$E$300,MATCH($A580,메뉴구조!$A$5:$A$300,0))&amp;""</f>
        <v>실시 Q6</v>
      </c>
      <c r="F580" s="9" t="str">
        <f>INDEX(메뉴구조!$G$5:$G$300,MATCH($A580,메뉴구조!$A$5:$A$300,0))&amp;""</f>
        <v>MY / 내 정보 / 투자 성향 분석 / 실시 Q6</v>
      </c>
      <c r="G580" s="18">
        <v>3</v>
      </c>
      <c r="H580" s="9" t="s">
        <v>1889</v>
      </c>
      <c r="I580" s="9" t="s">
        <v>1890</v>
      </c>
      <c r="J580" s="9" t="s">
        <v>1867</v>
      </c>
      <c r="K580" s="30" t="s">
        <v>11</v>
      </c>
      <c r="L580" s="9" t="s">
        <v>1474</v>
      </c>
      <c r="M580" s="9"/>
    </row>
    <row r="581" spans="1:13" ht="50">
      <c r="A581" s="18" t="s">
        <v>466</v>
      </c>
      <c r="B581" s="19" t="str">
        <f>INDEX(메뉴구조!$B$5:$B$300,MATCH($A581,메뉴구조!$A$5:$A$300,0))&amp;""</f>
        <v>MY</v>
      </c>
      <c r="C581" s="19" t="str">
        <f>INDEX(메뉴구조!$C$5:$C$300,MATCH($A581,메뉴구조!$A$5:$A$300,0))&amp;""</f>
        <v>내 정보</v>
      </c>
      <c r="D581" s="19" t="str">
        <f>INDEX(메뉴구조!$D$5:$D$300,MATCH($A581,메뉴구조!$A$5:$A$300,0))&amp;""</f>
        <v>투자 성향 분석</v>
      </c>
      <c r="E581" s="19" t="str">
        <f>INDEX(메뉴구조!$E$5:$E$300,MATCH($A581,메뉴구조!$A$5:$A$300,0))&amp;""</f>
        <v>결과</v>
      </c>
      <c r="F581" s="9" t="str">
        <f>INDEX(메뉴구조!$G$5:$G$300,MATCH($A581,메뉴구조!$A$5:$A$300,0))&amp;""</f>
        <v>MY / 내 정보 / 투자 성향 분석 / 결과</v>
      </c>
      <c r="G581" s="18">
        <v>1</v>
      </c>
      <c r="H581" s="9" t="s">
        <v>1891</v>
      </c>
      <c r="I581" s="9" t="s">
        <v>1892</v>
      </c>
      <c r="J581" s="9"/>
      <c r="K581" s="18" t="s">
        <v>17</v>
      </c>
      <c r="L581" s="9"/>
      <c r="M581" s="9"/>
    </row>
    <row r="582" spans="1:13" ht="75">
      <c r="A582" s="18" t="s">
        <v>466</v>
      </c>
      <c r="B582" s="19" t="str">
        <f>INDEX(메뉴구조!$B$5:$B$300,MATCH($A582,메뉴구조!$A$5:$A$300,0))&amp;""</f>
        <v>MY</v>
      </c>
      <c r="C582" s="19" t="str">
        <f>INDEX(메뉴구조!$C$5:$C$300,MATCH($A582,메뉴구조!$A$5:$A$300,0))&amp;""</f>
        <v>내 정보</v>
      </c>
      <c r="D582" s="19" t="str">
        <f>INDEX(메뉴구조!$D$5:$D$300,MATCH($A582,메뉴구조!$A$5:$A$300,0))&amp;""</f>
        <v>투자 성향 분석</v>
      </c>
      <c r="E582" s="19" t="str">
        <f>INDEX(메뉴구조!$E$5:$E$300,MATCH($A582,메뉴구조!$A$5:$A$300,0))&amp;""</f>
        <v>결과</v>
      </c>
      <c r="F582" s="9" t="str">
        <f>INDEX(메뉴구조!$G$5:$G$300,MATCH($A582,메뉴구조!$A$5:$A$300,0))&amp;""</f>
        <v>MY / 내 정보 / 투자 성향 분석 / 결과</v>
      </c>
      <c r="G582" s="18">
        <v>2</v>
      </c>
      <c r="H582" s="31" t="s">
        <v>1893</v>
      </c>
      <c r="I582" s="31" t="s">
        <v>1894</v>
      </c>
      <c r="J582" s="9" t="s">
        <v>1895</v>
      </c>
      <c r="K582" s="20" t="s">
        <v>9</v>
      </c>
      <c r="L582" s="9" t="s">
        <v>1896</v>
      </c>
      <c r="M582" s="9" t="s">
        <v>1897</v>
      </c>
    </row>
    <row r="583" spans="1:13" ht="25">
      <c r="A583" s="18" t="s">
        <v>466</v>
      </c>
      <c r="B583" s="19" t="str">
        <f>INDEX(메뉴구조!$B$5:$B$300,MATCH($A583,메뉴구조!$A$5:$A$300,0))&amp;""</f>
        <v>MY</v>
      </c>
      <c r="C583" s="19" t="str">
        <f>INDEX(메뉴구조!$C$5:$C$300,MATCH($A583,메뉴구조!$A$5:$A$300,0))&amp;""</f>
        <v>내 정보</v>
      </c>
      <c r="D583" s="19" t="str">
        <f>INDEX(메뉴구조!$D$5:$D$300,MATCH($A583,메뉴구조!$A$5:$A$300,0))&amp;""</f>
        <v>투자 성향 분석</v>
      </c>
      <c r="E583" s="19" t="str">
        <f>INDEX(메뉴구조!$E$5:$E$300,MATCH($A583,메뉴구조!$A$5:$A$300,0))&amp;""</f>
        <v>결과</v>
      </c>
      <c r="F583" s="9" t="str">
        <f>INDEX(메뉴구조!$G$5:$G$300,MATCH($A583,메뉴구조!$A$5:$A$300,0))&amp;""</f>
        <v>MY / 내 정보 / 투자 성향 분석 / 결과</v>
      </c>
      <c r="G583" s="18">
        <v>3</v>
      </c>
      <c r="H583" s="9" t="s">
        <v>1898</v>
      </c>
      <c r="I583" s="9" t="s">
        <v>1899</v>
      </c>
      <c r="J583" s="9"/>
      <c r="K583" s="18" t="s">
        <v>17</v>
      </c>
      <c r="L583" s="9"/>
      <c r="M583" s="9"/>
    </row>
    <row r="584" spans="1:13" ht="37.5">
      <c r="A584" s="18" t="s">
        <v>466</v>
      </c>
      <c r="B584" s="19" t="str">
        <f>INDEX(메뉴구조!$B$5:$B$300,MATCH($A584,메뉴구조!$A$5:$A$300,0))&amp;""</f>
        <v>MY</v>
      </c>
      <c r="C584" s="19" t="str">
        <f>INDEX(메뉴구조!$C$5:$C$300,MATCH($A584,메뉴구조!$A$5:$A$300,0))&amp;""</f>
        <v>내 정보</v>
      </c>
      <c r="D584" s="19" t="str">
        <f>INDEX(메뉴구조!$D$5:$D$300,MATCH($A584,메뉴구조!$A$5:$A$300,0))&amp;""</f>
        <v>투자 성향 분석</v>
      </c>
      <c r="E584" s="19" t="str">
        <f>INDEX(메뉴구조!$E$5:$E$300,MATCH($A584,메뉴구조!$A$5:$A$300,0))&amp;""</f>
        <v>결과</v>
      </c>
      <c r="F584" s="9" t="str">
        <f>INDEX(메뉴구조!$G$5:$G$300,MATCH($A584,메뉴구조!$A$5:$A$300,0))&amp;""</f>
        <v>MY / 내 정보 / 투자 성향 분석 / 결과</v>
      </c>
      <c r="G584" s="18">
        <v>4</v>
      </c>
      <c r="H584" s="9" t="s">
        <v>1900</v>
      </c>
      <c r="I584" s="9" t="s">
        <v>1901</v>
      </c>
      <c r="J584" s="9"/>
      <c r="K584" s="18" t="s">
        <v>17</v>
      </c>
      <c r="L584" s="9"/>
      <c r="M584" s="9"/>
    </row>
    <row r="585" spans="1:13" ht="62.5">
      <c r="A585" s="18" t="s">
        <v>466</v>
      </c>
      <c r="B585" s="19" t="str">
        <f>INDEX(메뉴구조!$B$5:$B$300,MATCH($A585,메뉴구조!$A$5:$A$300,0))&amp;""</f>
        <v>MY</v>
      </c>
      <c r="C585" s="19" t="str">
        <f>INDEX(메뉴구조!$C$5:$C$300,MATCH($A585,메뉴구조!$A$5:$A$300,0))&amp;""</f>
        <v>내 정보</v>
      </c>
      <c r="D585" s="19" t="str">
        <f>INDEX(메뉴구조!$D$5:$D$300,MATCH($A585,메뉴구조!$A$5:$A$300,0))&amp;""</f>
        <v>투자 성향 분석</v>
      </c>
      <c r="E585" s="19" t="str">
        <f>INDEX(메뉴구조!$E$5:$E$300,MATCH($A585,메뉴구조!$A$5:$A$300,0))&amp;""</f>
        <v>결과</v>
      </c>
      <c r="F585" s="9" t="str">
        <f>INDEX(메뉴구조!$G$5:$G$300,MATCH($A585,메뉴구조!$A$5:$A$300,0))&amp;""</f>
        <v>MY / 내 정보 / 투자 성향 분석 / 결과</v>
      </c>
      <c r="G585" s="18">
        <v>5</v>
      </c>
      <c r="H585" s="32" t="s">
        <v>1902</v>
      </c>
      <c r="I585" s="32" t="s">
        <v>1903</v>
      </c>
      <c r="J585" s="32" t="s">
        <v>1904</v>
      </c>
      <c r="K585" s="23" t="s">
        <v>7</v>
      </c>
      <c r="L585" s="9" t="s">
        <v>1905</v>
      </c>
      <c r="M585" s="9"/>
    </row>
    <row r="586" spans="1:13" ht="37.5">
      <c r="A586" s="18" t="s">
        <v>470</v>
      </c>
      <c r="B586" s="19" t="str">
        <f>INDEX(메뉴구조!$B$5:$B$300,MATCH($A586,메뉴구조!$A$5:$A$300,0))&amp;""</f>
        <v>MY</v>
      </c>
      <c r="C586" s="19" t="str">
        <f>INDEX(메뉴구조!$C$5:$C$300,MATCH($A586,메뉴구조!$A$5:$A$300,0))&amp;""</f>
        <v>내 정보</v>
      </c>
      <c r="D586" s="19" t="str">
        <f>INDEX(메뉴구조!$D$5:$D$300,MATCH($A586,메뉴구조!$A$5:$A$300,0))&amp;""</f>
        <v>투자자 자격 신청</v>
      </c>
      <c r="E586" s="19" t="str">
        <f>INDEX(메뉴구조!$E$5:$E$300,MATCH($A586,메뉴구조!$A$5:$A$300,0))&amp;""</f>
        <v>—</v>
      </c>
      <c r="F586" s="9" t="str">
        <f>INDEX(메뉴구조!$G$5:$G$300,MATCH($A586,메뉴구조!$A$5:$A$300,0))&amp;""</f>
        <v>MY / 내 정보 / 투자자 자격 신청</v>
      </c>
      <c r="G586" s="18">
        <v>1</v>
      </c>
      <c r="H586" s="31" t="s">
        <v>1906</v>
      </c>
      <c r="I586" s="31" t="s">
        <v>1907</v>
      </c>
      <c r="J586" s="9"/>
      <c r="K586" s="20" t="s">
        <v>9</v>
      </c>
      <c r="L586" s="9" t="s">
        <v>1908</v>
      </c>
      <c r="M586" s="9" t="s">
        <v>1909</v>
      </c>
    </row>
    <row r="587" spans="1:13" ht="62.5">
      <c r="A587" s="18" t="s">
        <v>470</v>
      </c>
      <c r="B587" s="19" t="str">
        <f>INDEX(메뉴구조!$B$5:$B$300,MATCH($A587,메뉴구조!$A$5:$A$300,0))&amp;""</f>
        <v>MY</v>
      </c>
      <c r="C587" s="19" t="str">
        <f>INDEX(메뉴구조!$C$5:$C$300,MATCH($A587,메뉴구조!$A$5:$A$300,0))&amp;""</f>
        <v>내 정보</v>
      </c>
      <c r="D587" s="19" t="str">
        <f>INDEX(메뉴구조!$D$5:$D$300,MATCH($A587,메뉴구조!$A$5:$A$300,0))&amp;""</f>
        <v>투자자 자격 신청</v>
      </c>
      <c r="E587" s="19" t="str">
        <f>INDEX(메뉴구조!$E$5:$E$300,MATCH($A587,메뉴구조!$A$5:$A$300,0))&amp;""</f>
        <v>—</v>
      </c>
      <c r="F587" s="9" t="str">
        <f>INDEX(메뉴구조!$G$5:$G$300,MATCH($A587,메뉴구조!$A$5:$A$300,0))&amp;""</f>
        <v>MY / 내 정보 / 투자자 자격 신청</v>
      </c>
      <c r="G587" s="18">
        <v>2</v>
      </c>
      <c r="H587" s="9" t="s">
        <v>1910</v>
      </c>
      <c r="I587" s="9" t="s">
        <v>1911</v>
      </c>
      <c r="J587" s="9" t="s">
        <v>1912</v>
      </c>
      <c r="K587" s="18" t="s">
        <v>17</v>
      </c>
      <c r="L587" s="9"/>
      <c r="M587" s="9"/>
    </row>
    <row r="588" spans="1:13" ht="25">
      <c r="A588" s="18" t="s">
        <v>470</v>
      </c>
      <c r="B588" s="19" t="str">
        <f>INDEX(메뉴구조!$B$5:$B$300,MATCH($A588,메뉴구조!$A$5:$A$300,0))&amp;""</f>
        <v>MY</v>
      </c>
      <c r="C588" s="19" t="str">
        <f>INDEX(메뉴구조!$C$5:$C$300,MATCH($A588,메뉴구조!$A$5:$A$300,0))&amp;""</f>
        <v>내 정보</v>
      </c>
      <c r="D588" s="19" t="str">
        <f>INDEX(메뉴구조!$D$5:$D$300,MATCH($A588,메뉴구조!$A$5:$A$300,0))&amp;""</f>
        <v>투자자 자격 신청</v>
      </c>
      <c r="E588" s="19" t="str">
        <f>INDEX(메뉴구조!$E$5:$E$300,MATCH($A588,메뉴구조!$A$5:$A$300,0))&amp;""</f>
        <v>—</v>
      </c>
      <c r="F588" s="9" t="str">
        <f>INDEX(메뉴구조!$G$5:$G$300,MATCH($A588,메뉴구조!$A$5:$A$300,0))&amp;""</f>
        <v>MY / 내 정보 / 투자자 자격 신청</v>
      </c>
      <c r="G588" s="18">
        <v>3</v>
      </c>
      <c r="H588" s="9" t="s">
        <v>1913</v>
      </c>
      <c r="I588" s="9" t="s">
        <v>1914</v>
      </c>
      <c r="J588" s="9"/>
      <c r="K588" s="18" t="s">
        <v>17</v>
      </c>
      <c r="L588" s="9"/>
      <c r="M588" s="9"/>
    </row>
    <row r="589" spans="1:13" ht="37.5">
      <c r="A589" s="18" t="s">
        <v>470</v>
      </c>
      <c r="B589" s="19" t="str">
        <f>INDEX(메뉴구조!$B$5:$B$300,MATCH($A589,메뉴구조!$A$5:$A$300,0))&amp;""</f>
        <v>MY</v>
      </c>
      <c r="C589" s="19" t="str">
        <f>INDEX(메뉴구조!$C$5:$C$300,MATCH($A589,메뉴구조!$A$5:$A$300,0))&amp;""</f>
        <v>내 정보</v>
      </c>
      <c r="D589" s="19" t="str">
        <f>INDEX(메뉴구조!$D$5:$D$300,MATCH($A589,메뉴구조!$A$5:$A$300,0))&amp;""</f>
        <v>투자자 자격 신청</v>
      </c>
      <c r="E589" s="19" t="str">
        <f>INDEX(메뉴구조!$E$5:$E$300,MATCH($A589,메뉴구조!$A$5:$A$300,0))&amp;""</f>
        <v>—</v>
      </c>
      <c r="F589" s="9" t="str">
        <f>INDEX(메뉴구조!$G$5:$G$300,MATCH($A589,메뉴구조!$A$5:$A$300,0))&amp;""</f>
        <v>MY / 내 정보 / 투자자 자격 신청</v>
      </c>
      <c r="G589" s="18">
        <v>4</v>
      </c>
      <c r="H589" s="9" t="s">
        <v>1915</v>
      </c>
      <c r="I589" s="9" t="s">
        <v>1916</v>
      </c>
      <c r="J589" s="9" t="s">
        <v>1917</v>
      </c>
      <c r="K589" s="18" t="s">
        <v>17</v>
      </c>
      <c r="L589" s="9"/>
      <c r="M589" s="9"/>
    </row>
    <row r="590" spans="1:13" ht="50">
      <c r="A590" s="18" t="s">
        <v>470</v>
      </c>
      <c r="B590" s="19" t="str">
        <f>INDEX(메뉴구조!$B$5:$B$300,MATCH($A590,메뉴구조!$A$5:$A$300,0))&amp;""</f>
        <v>MY</v>
      </c>
      <c r="C590" s="19" t="str">
        <f>INDEX(메뉴구조!$C$5:$C$300,MATCH($A590,메뉴구조!$A$5:$A$300,0))&amp;""</f>
        <v>내 정보</v>
      </c>
      <c r="D590" s="19" t="str">
        <f>INDEX(메뉴구조!$D$5:$D$300,MATCH($A590,메뉴구조!$A$5:$A$300,0))&amp;""</f>
        <v>투자자 자격 신청</v>
      </c>
      <c r="E590" s="19" t="str">
        <f>INDEX(메뉴구조!$E$5:$E$300,MATCH($A590,메뉴구조!$A$5:$A$300,0))&amp;""</f>
        <v>—</v>
      </c>
      <c r="F590" s="9" t="str">
        <f>INDEX(메뉴구조!$G$5:$G$300,MATCH($A590,메뉴구조!$A$5:$A$300,0))&amp;""</f>
        <v>MY / 내 정보 / 투자자 자격 신청</v>
      </c>
      <c r="G590" s="18">
        <v>5</v>
      </c>
      <c r="H590" s="9" t="s">
        <v>1918</v>
      </c>
      <c r="I590" s="9" t="s">
        <v>1919</v>
      </c>
      <c r="J590" s="9" t="s">
        <v>1920</v>
      </c>
      <c r="K590" s="18" t="s">
        <v>17</v>
      </c>
      <c r="L590" s="9"/>
      <c r="M590" s="9"/>
    </row>
    <row r="591" spans="1:13" ht="62.5">
      <c r="A591" s="18" t="s">
        <v>470</v>
      </c>
      <c r="B591" s="19" t="str">
        <f>INDEX(메뉴구조!$B$5:$B$300,MATCH($A591,메뉴구조!$A$5:$A$300,0))&amp;""</f>
        <v>MY</v>
      </c>
      <c r="C591" s="19" t="str">
        <f>INDEX(메뉴구조!$C$5:$C$300,MATCH($A591,메뉴구조!$A$5:$A$300,0))&amp;""</f>
        <v>내 정보</v>
      </c>
      <c r="D591" s="19" t="str">
        <f>INDEX(메뉴구조!$D$5:$D$300,MATCH($A591,메뉴구조!$A$5:$A$300,0))&amp;""</f>
        <v>투자자 자격 신청</v>
      </c>
      <c r="E591" s="19" t="str">
        <f>INDEX(메뉴구조!$E$5:$E$300,MATCH($A591,메뉴구조!$A$5:$A$300,0))&amp;""</f>
        <v>—</v>
      </c>
      <c r="F591" s="9" t="str">
        <f>INDEX(메뉴구조!$G$5:$G$300,MATCH($A591,메뉴구조!$A$5:$A$300,0))&amp;""</f>
        <v>MY / 내 정보 / 투자자 자격 신청</v>
      </c>
      <c r="G591" s="18">
        <v>6</v>
      </c>
      <c r="H591" s="32" t="s">
        <v>1921</v>
      </c>
      <c r="I591" s="32" t="s">
        <v>1922</v>
      </c>
      <c r="J591" s="32"/>
      <c r="K591" s="23" t="s">
        <v>7</v>
      </c>
      <c r="L591" s="9" t="s">
        <v>1923</v>
      </c>
      <c r="M591" s="9"/>
    </row>
    <row r="592" spans="1:13" ht="125">
      <c r="A592" s="18" t="s">
        <v>470</v>
      </c>
      <c r="B592" s="19" t="str">
        <f>INDEX(메뉴구조!$B$5:$B$300,MATCH($A592,메뉴구조!$A$5:$A$300,0))&amp;""</f>
        <v>MY</v>
      </c>
      <c r="C592" s="19" t="str">
        <f>INDEX(메뉴구조!$C$5:$C$300,MATCH($A592,메뉴구조!$A$5:$A$300,0))&amp;""</f>
        <v>내 정보</v>
      </c>
      <c r="D592" s="19" t="str">
        <f>INDEX(메뉴구조!$D$5:$D$300,MATCH($A592,메뉴구조!$A$5:$A$300,0))&amp;""</f>
        <v>투자자 자격 신청</v>
      </c>
      <c r="E592" s="19" t="str">
        <f>INDEX(메뉴구조!$E$5:$E$300,MATCH($A592,메뉴구조!$A$5:$A$300,0))&amp;""</f>
        <v>—</v>
      </c>
      <c r="F592" s="9" t="str">
        <f>INDEX(메뉴구조!$G$5:$G$300,MATCH($A592,메뉴구조!$A$5:$A$300,0))&amp;""</f>
        <v>MY / 내 정보 / 투자자 자격 신청</v>
      </c>
      <c r="G592" s="18">
        <v>7</v>
      </c>
      <c r="H592" s="32" t="s">
        <v>1924</v>
      </c>
      <c r="I592" s="32" t="s">
        <v>1925</v>
      </c>
      <c r="J592" s="32" t="s">
        <v>1926</v>
      </c>
      <c r="K592" s="23" t="s">
        <v>7</v>
      </c>
      <c r="L592" s="9" t="s">
        <v>1927</v>
      </c>
      <c r="M592" s="9"/>
    </row>
    <row r="593" spans="1:13" ht="25">
      <c r="A593" s="18" t="s">
        <v>470</v>
      </c>
      <c r="B593" s="19" t="str">
        <f>INDEX(메뉴구조!$B$5:$B$300,MATCH($A593,메뉴구조!$A$5:$A$300,0))&amp;""</f>
        <v>MY</v>
      </c>
      <c r="C593" s="19" t="str">
        <f>INDEX(메뉴구조!$C$5:$C$300,MATCH($A593,메뉴구조!$A$5:$A$300,0))&amp;""</f>
        <v>내 정보</v>
      </c>
      <c r="D593" s="19" t="str">
        <f>INDEX(메뉴구조!$D$5:$D$300,MATCH($A593,메뉴구조!$A$5:$A$300,0))&amp;""</f>
        <v>투자자 자격 신청</v>
      </c>
      <c r="E593" s="19" t="str">
        <f>INDEX(메뉴구조!$E$5:$E$300,MATCH($A593,메뉴구조!$A$5:$A$300,0))&amp;""</f>
        <v>—</v>
      </c>
      <c r="F593" s="9" t="str">
        <f>INDEX(메뉴구조!$G$5:$G$300,MATCH($A593,메뉴구조!$A$5:$A$300,0))&amp;""</f>
        <v>MY / 내 정보 / 투자자 자격 신청</v>
      </c>
      <c r="G593" s="18">
        <v>8</v>
      </c>
      <c r="H593" s="32" t="s">
        <v>1252</v>
      </c>
      <c r="I593" s="32" t="s">
        <v>1928</v>
      </c>
      <c r="J593" s="32"/>
      <c r="K593" s="23" t="s">
        <v>7</v>
      </c>
      <c r="L593" s="9" t="s">
        <v>1927</v>
      </c>
      <c r="M593" s="9"/>
    </row>
    <row r="594" spans="1:13" ht="37.5">
      <c r="A594" s="18" t="s">
        <v>470</v>
      </c>
      <c r="B594" s="19" t="str">
        <f>INDEX(메뉴구조!$B$5:$B$300,MATCH($A594,메뉴구조!$A$5:$A$300,0))&amp;""</f>
        <v>MY</v>
      </c>
      <c r="C594" s="19" t="str">
        <f>INDEX(메뉴구조!$C$5:$C$300,MATCH($A594,메뉴구조!$A$5:$A$300,0))&amp;""</f>
        <v>내 정보</v>
      </c>
      <c r="D594" s="19" t="str">
        <f>INDEX(메뉴구조!$D$5:$D$300,MATCH($A594,메뉴구조!$A$5:$A$300,0))&amp;""</f>
        <v>투자자 자격 신청</v>
      </c>
      <c r="E594" s="19" t="str">
        <f>INDEX(메뉴구조!$E$5:$E$300,MATCH($A594,메뉴구조!$A$5:$A$300,0))&amp;""</f>
        <v>—</v>
      </c>
      <c r="F594" s="9" t="str">
        <f>INDEX(메뉴구조!$G$5:$G$300,MATCH($A594,메뉴구조!$A$5:$A$300,0))&amp;""</f>
        <v>MY / 내 정보 / 투자자 자격 신청</v>
      </c>
      <c r="G594" s="18">
        <v>9</v>
      </c>
      <c r="H594" s="32" t="s">
        <v>1929</v>
      </c>
      <c r="I594" s="32" t="s">
        <v>1930</v>
      </c>
      <c r="J594" s="32" t="s">
        <v>1931</v>
      </c>
      <c r="K594" s="23" t="s">
        <v>7</v>
      </c>
      <c r="L594" s="9" t="s">
        <v>1927</v>
      </c>
      <c r="M594" s="9"/>
    </row>
    <row r="595" spans="1:13" ht="62.5">
      <c r="A595" s="18" t="s">
        <v>474</v>
      </c>
      <c r="B595" s="19" t="str">
        <f>INDEX(메뉴구조!$B$5:$B$300,MATCH($A595,메뉴구조!$A$5:$A$300,0))&amp;""</f>
        <v>MY</v>
      </c>
      <c r="C595" s="19" t="str">
        <f>INDEX(메뉴구조!$C$5:$C$300,MATCH($A595,메뉴구조!$A$5:$A$300,0))&amp;""</f>
        <v>내 정보</v>
      </c>
      <c r="D595" s="19" t="str">
        <f>INDEX(메뉴구조!$D$5:$D$300,MATCH($A595,메뉴구조!$A$5:$A$300,0))&amp;""</f>
        <v>투자자 자격 신청</v>
      </c>
      <c r="E595" s="19" t="str">
        <f>INDEX(메뉴구조!$E$5:$E$300,MATCH($A595,메뉴구조!$A$5:$A$300,0))&amp;""</f>
        <v>서류 제출</v>
      </c>
      <c r="F595" s="9" t="str">
        <f>INDEX(메뉴구조!$G$5:$G$300,MATCH($A595,메뉴구조!$A$5:$A$300,0))&amp;""</f>
        <v>MY / 내 정보 / 투자자 자격 신청 / 서류 제출</v>
      </c>
      <c r="G595" s="18">
        <v>1</v>
      </c>
      <c r="H595" s="31" t="s">
        <v>1932</v>
      </c>
      <c r="I595" s="31" t="s">
        <v>1933</v>
      </c>
      <c r="J595" s="9"/>
      <c r="K595" s="20" t="s">
        <v>9</v>
      </c>
      <c r="L595" s="9" t="s">
        <v>1934</v>
      </c>
      <c r="M595" s="9" t="s">
        <v>1935</v>
      </c>
    </row>
    <row r="596" spans="1:13" ht="50">
      <c r="A596" s="18" t="s">
        <v>474</v>
      </c>
      <c r="B596" s="19" t="str">
        <f>INDEX(메뉴구조!$B$5:$B$300,MATCH($A596,메뉴구조!$A$5:$A$300,0))&amp;""</f>
        <v>MY</v>
      </c>
      <c r="C596" s="19" t="str">
        <f>INDEX(메뉴구조!$C$5:$C$300,MATCH($A596,메뉴구조!$A$5:$A$300,0))&amp;""</f>
        <v>내 정보</v>
      </c>
      <c r="D596" s="19" t="str">
        <f>INDEX(메뉴구조!$D$5:$D$300,MATCH($A596,메뉴구조!$A$5:$A$300,0))&amp;""</f>
        <v>투자자 자격 신청</v>
      </c>
      <c r="E596" s="19" t="str">
        <f>INDEX(메뉴구조!$E$5:$E$300,MATCH($A596,메뉴구조!$A$5:$A$300,0))&amp;""</f>
        <v>서류 제출</v>
      </c>
      <c r="F596" s="9" t="str">
        <f>INDEX(메뉴구조!$G$5:$G$300,MATCH($A596,메뉴구조!$A$5:$A$300,0))&amp;""</f>
        <v>MY / 내 정보 / 투자자 자격 신청 / 서류 제출</v>
      </c>
      <c r="G596" s="18">
        <v>2</v>
      </c>
      <c r="H596" s="9" t="s">
        <v>1936</v>
      </c>
      <c r="I596" s="9" t="s">
        <v>1937</v>
      </c>
      <c r="J596" s="9"/>
      <c r="K596" s="30" t="s">
        <v>11</v>
      </c>
      <c r="L596" s="9" t="s">
        <v>1474</v>
      </c>
      <c r="M596" s="9"/>
    </row>
    <row r="597" spans="1:13" ht="50">
      <c r="A597" s="18" t="s">
        <v>474</v>
      </c>
      <c r="B597" s="19" t="str">
        <f>INDEX(메뉴구조!$B$5:$B$300,MATCH($A597,메뉴구조!$A$5:$A$300,0))&amp;""</f>
        <v>MY</v>
      </c>
      <c r="C597" s="19" t="str">
        <f>INDEX(메뉴구조!$C$5:$C$300,MATCH($A597,메뉴구조!$A$5:$A$300,0))&amp;""</f>
        <v>내 정보</v>
      </c>
      <c r="D597" s="19" t="str">
        <f>INDEX(메뉴구조!$D$5:$D$300,MATCH($A597,메뉴구조!$A$5:$A$300,0))&amp;""</f>
        <v>투자자 자격 신청</v>
      </c>
      <c r="E597" s="19" t="str">
        <f>INDEX(메뉴구조!$E$5:$E$300,MATCH($A597,메뉴구조!$A$5:$A$300,0))&amp;""</f>
        <v>서류 제출</v>
      </c>
      <c r="F597" s="9" t="str">
        <f>INDEX(메뉴구조!$G$5:$G$300,MATCH($A597,메뉴구조!$A$5:$A$300,0))&amp;""</f>
        <v>MY / 내 정보 / 투자자 자격 신청 / 서류 제출</v>
      </c>
      <c r="G597" s="18">
        <v>3</v>
      </c>
      <c r="H597" s="9" t="s">
        <v>1938</v>
      </c>
      <c r="I597" s="9" t="s">
        <v>1939</v>
      </c>
      <c r="J597" s="9"/>
      <c r="K597" s="30" t="s">
        <v>11</v>
      </c>
      <c r="L597" s="9" t="s">
        <v>1474</v>
      </c>
      <c r="M597" s="9"/>
    </row>
    <row r="598" spans="1:13" ht="87.5">
      <c r="A598" s="18" t="s">
        <v>474</v>
      </c>
      <c r="B598" s="19" t="str">
        <f>INDEX(메뉴구조!$B$5:$B$300,MATCH($A598,메뉴구조!$A$5:$A$300,0))&amp;""</f>
        <v>MY</v>
      </c>
      <c r="C598" s="19" t="str">
        <f>INDEX(메뉴구조!$C$5:$C$300,MATCH($A598,메뉴구조!$A$5:$A$300,0))&amp;""</f>
        <v>내 정보</v>
      </c>
      <c r="D598" s="19" t="str">
        <f>INDEX(메뉴구조!$D$5:$D$300,MATCH($A598,메뉴구조!$A$5:$A$300,0))&amp;""</f>
        <v>투자자 자격 신청</v>
      </c>
      <c r="E598" s="19" t="str">
        <f>INDEX(메뉴구조!$E$5:$E$300,MATCH($A598,메뉴구조!$A$5:$A$300,0))&amp;""</f>
        <v>서류 제출</v>
      </c>
      <c r="F598" s="9" t="str">
        <f>INDEX(메뉴구조!$G$5:$G$300,MATCH($A598,메뉴구조!$A$5:$A$300,0))&amp;""</f>
        <v>MY / 내 정보 / 투자자 자격 신청 / 서류 제출</v>
      </c>
      <c r="G598" s="18">
        <v>4</v>
      </c>
      <c r="H598" s="31" t="s">
        <v>1940</v>
      </c>
      <c r="I598" s="31" t="s">
        <v>1941</v>
      </c>
      <c r="J598" s="9" t="s">
        <v>1942</v>
      </c>
      <c r="K598" s="20" t="s">
        <v>9</v>
      </c>
      <c r="L598" s="9" t="s">
        <v>1943</v>
      </c>
      <c r="M598" s="9" t="s">
        <v>1944</v>
      </c>
    </row>
    <row r="599" spans="1:13" ht="100">
      <c r="A599" s="18" t="s">
        <v>474</v>
      </c>
      <c r="B599" s="19" t="str">
        <f>INDEX(메뉴구조!$B$5:$B$300,MATCH($A599,메뉴구조!$A$5:$A$300,0))&amp;""</f>
        <v>MY</v>
      </c>
      <c r="C599" s="19" t="str">
        <f>INDEX(메뉴구조!$C$5:$C$300,MATCH($A599,메뉴구조!$A$5:$A$300,0))&amp;""</f>
        <v>내 정보</v>
      </c>
      <c r="D599" s="19" t="str">
        <f>INDEX(메뉴구조!$D$5:$D$300,MATCH($A599,메뉴구조!$A$5:$A$300,0))&amp;""</f>
        <v>투자자 자격 신청</v>
      </c>
      <c r="E599" s="19" t="str">
        <f>INDEX(메뉴구조!$E$5:$E$300,MATCH($A599,메뉴구조!$A$5:$A$300,0))&amp;""</f>
        <v>서류 제출</v>
      </c>
      <c r="F599" s="9" t="str">
        <f>INDEX(메뉴구조!$G$5:$G$300,MATCH($A599,메뉴구조!$A$5:$A$300,0))&amp;""</f>
        <v>MY / 내 정보 / 투자자 자격 신청 / 서류 제출</v>
      </c>
      <c r="G599" s="18">
        <v>5</v>
      </c>
      <c r="H599" s="31" t="s">
        <v>1945</v>
      </c>
      <c r="I599" s="31" t="s">
        <v>1946</v>
      </c>
      <c r="J599" s="9" t="s">
        <v>1947</v>
      </c>
      <c r="K599" s="20" t="s">
        <v>9</v>
      </c>
      <c r="L599" s="9" t="s">
        <v>1948</v>
      </c>
      <c r="M599" s="9" t="s">
        <v>1949</v>
      </c>
    </row>
    <row r="600" spans="1:13" ht="37.5">
      <c r="A600" s="18" t="s">
        <v>479</v>
      </c>
      <c r="B600" s="19" t="str">
        <f>INDEX(메뉴구조!$B$5:$B$300,MATCH($A600,메뉴구조!$A$5:$A$300,0))&amp;""</f>
        <v>MY</v>
      </c>
      <c r="C600" s="19" t="str">
        <f>INDEX(메뉴구조!$C$5:$C$300,MATCH($A600,메뉴구조!$A$5:$A$300,0))&amp;""</f>
        <v>내 정보</v>
      </c>
      <c r="D600" s="19" t="str">
        <f>INDEX(메뉴구조!$D$5:$D$300,MATCH($A600,메뉴구조!$A$5:$A$300,0))&amp;""</f>
        <v>투자자 자격 신청</v>
      </c>
      <c r="E600" s="19" t="str">
        <f>INDEX(메뉴구조!$E$5:$E$300,MATCH($A600,메뉴구조!$A$5:$A$300,0))&amp;""</f>
        <v>개인정보 동의</v>
      </c>
      <c r="F600" s="9" t="str">
        <f>INDEX(메뉴구조!$G$5:$G$300,MATCH($A600,메뉴구조!$A$5:$A$300,0))&amp;""</f>
        <v>MY / 내 정보 / 투자자 자격 신청 / 개인정보 동의</v>
      </c>
      <c r="G600" s="18">
        <v>1</v>
      </c>
      <c r="H600" s="31" t="s">
        <v>891</v>
      </c>
      <c r="I600" s="31" t="s">
        <v>1950</v>
      </c>
      <c r="J600" s="9"/>
      <c r="K600" s="20" t="s">
        <v>9</v>
      </c>
      <c r="L600" s="9" t="s">
        <v>1951</v>
      </c>
      <c r="M600" s="9" t="s">
        <v>1952</v>
      </c>
    </row>
    <row r="601" spans="1:13" ht="62.5">
      <c r="A601" s="18" t="s">
        <v>479</v>
      </c>
      <c r="B601" s="19" t="str">
        <f>INDEX(메뉴구조!$B$5:$B$300,MATCH($A601,메뉴구조!$A$5:$A$300,0))&amp;""</f>
        <v>MY</v>
      </c>
      <c r="C601" s="19" t="str">
        <f>INDEX(메뉴구조!$C$5:$C$300,MATCH($A601,메뉴구조!$A$5:$A$300,0))&amp;""</f>
        <v>내 정보</v>
      </c>
      <c r="D601" s="19" t="str">
        <f>INDEX(메뉴구조!$D$5:$D$300,MATCH($A601,메뉴구조!$A$5:$A$300,0))&amp;""</f>
        <v>투자자 자격 신청</v>
      </c>
      <c r="E601" s="19" t="str">
        <f>INDEX(메뉴구조!$E$5:$E$300,MATCH($A601,메뉴구조!$A$5:$A$300,0))&amp;""</f>
        <v>개인정보 동의</v>
      </c>
      <c r="F601" s="9" t="str">
        <f>INDEX(메뉴구조!$G$5:$G$300,MATCH($A601,메뉴구조!$A$5:$A$300,0))&amp;""</f>
        <v>MY / 내 정보 / 투자자 자격 신청 / 개인정보 동의</v>
      </c>
      <c r="G601" s="18">
        <v>2</v>
      </c>
      <c r="H601" s="9" t="s">
        <v>1953</v>
      </c>
      <c r="I601" s="9" t="s">
        <v>1954</v>
      </c>
      <c r="J601" s="9" t="s">
        <v>1955</v>
      </c>
      <c r="K601" s="30" t="s">
        <v>11</v>
      </c>
      <c r="L601" s="9" t="s">
        <v>1474</v>
      </c>
      <c r="M601" s="9"/>
    </row>
    <row r="602" spans="1:13" ht="62.5">
      <c r="A602" s="18" t="s">
        <v>479</v>
      </c>
      <c r="B602" s="19" t="str">
        <f>INDEX(메뉴구조!$B$5:$B$300,MATCH($A602,메뉴구조!$A$5:$A$300,0))&amp;""</f>
        <v>MY</v>
      </c>
      <c r="C602" s="19" t="str">
        <f>INDEX(메뉴구조!$C$5:$C$300,MATCH($A602,메뉴구조!$A$5:$A$300,0))&amp;""</f>
        <v>내 정보</v>
      </c>
      <c r="D602" s="19" t="str">
        <f>INDEX(메뉴구조!$D$5:$D$300,MATCH($A602,메뉴구조!$A$5:$A$300,0))&amp;""</f>
        <v>투자자 자격 신청</v>
      </c>
      <c r="E602" s="19" t="str">
        <f>INDEX(메뉴구조!$E$5:$E$300,MATCH($A602,메뉴구조!$A$5:$A$300,0))&amp;""</f>
        <v>개인정보 동의</v>
      </c>
      <c r="F602" s="9" t="str">
        <f>INDEX(메뉴구조!$G$5:$G$300,MATCH($A602,메뉴구조!$A$5:$A$300,0))&amp;""</f>
        <v>MY / 내 정보 / 투자자 자격 신청 / 개인정보 동의</v>
      </c>
      <c r="G602" s="18">
        <v>3</v>
      </c>
      <c r="H602" s="9" t="s">
        <v>1956</v>
      </c>
      <c r="I602" s="9" t="s">
        <v>1957</v>
      </c>
      <c r="J602" s="9" t="s">
        <v>1958</v>
      </c>
      <c r="K602" s="30" t="s">
        <v>11</v>
      </c>
      <c r="L602" s="9" t="s">
        <v>1474</v>
      </c>
      <c r="M602" s="9"/>
    </row>
    <row r="603" spans="1:13" ht="62.5">
      <c r="A603" s="18" t="s">
        <v>479</v>
      </c>
      <c r="B603" s="19" t="str">
        <f>INDEX(메뉴구조!$B$5:$B$300,MATCH($A603,메뉴구조!$A$5:$A$300,0))&amp;""</f>
        <v>MY</v>
      </c>
      <c r="C603" s="19" t="str">
        <f>INDEX(메뉴구조!$C$5:$C$300,MATCH($A603,메뉴구조!$A$5:$A$300,0))&amp;""</f>
        <v>내 정보</v>
      </c>
      <c r="D603" s="19" t="str">
        <f>INDEX(메뉴구조!$D$5:$D$300,MATCH($A603,메뉴구조!$A$5:$A$300,0))&amp;""</f>
        <v>투자자 자격 신청</v>
      </c>
      <c r="E603" s="19" t="str">
        <f>INDEX(메뉴구조!$E$5:$E$300,MATCH($A603,메뉴구조!$A$5:$A$300,0))&amp;""</f>
        <v>개인정보 동의</v>
      </c>
      <c r="F603" s="9" t="str">
        <f>INDEX(메뉴구조!$G$5:$G$300,MATCH($A603,메뉴구조!$A$5:$A$300,0))&amp;""</f>
        <v>MY / 내 정보 / 투자자 자격 신청 / 개인정보 동의</v>
      </c>
      <c r="G603" s="18">
        <v>4</v>
      </c>
      <c r="H603" s="9" t="s">
        <v>1959</v>
      </c>
      <c r="I603" s="9" t="s">
        <v>1960</v>
      </c>
      <c r="J603" s="9" t="s">
        <v>1961</v>
      </c>
      <c r="K603" s="30" t="s">
        <v>11</v>
      </c>
      <c r="L603" s="9" t="s">
        <v>1474</v>
      </c>
      <c r="M603" s="9"/>
    </row>
    <row r="604" spans="1:13" ht="62.5">
      <c r="A604" s="18" t="s">
        <v>479</v>
      </c>
      <c r="B604" s="19" t="str">
        <f>INDEX(메뉴구조!$B$5:$B$300,MATCH($A604,메뉴구조!$A$5:$A$300,0))&amp;""</f>
        <v>MY</v>
      </c>
      <c r="C604" s="19" t="str">
        <f>INDEX(메뉴구조!$C$5:$C$300,MATCH($A604,메뉴구조!$A$5:$A$300,0))&amp;""</f>
        <v>내 정보</v>
      </c>
      <c r="D604" s="19" t="str">
        <f>INDEX(메뉴구조!$D$5:$D$300,MATCH($A604,메뉴구조!$A$5:$A$300,0))&amp;""</f>
        <v>투자자 자격 신청</v>
      </c>
      <c r="E604" s="19" t="str">
        <f>INDEX(메뉴구조!$E$5:$E$300,MATCH($A604,메뉴구조!$A$5:$A$300,0))&amp;""</f>
        <v>개인정보 동의</v>
      </c>
      <c r="F604" s="9" t="str">
        <f>INDEX(메뉴구조!$G$5:$G$300,MATCH($A604,메뉴구조!$A$5:$A$300,0))&amp;""</f>
        <v>MY / 내 정보 / 투자자 자격 신청 / 개인정보 동의</v>
      </c>
      <c r="G604" s="18">
        <v>5</v>
      </c>
      <c r="H604" s="31" t="s">
        <v>1962</v>
      </c>
      <c r="I604" s="31" t="s">
        <v>1963</v>
      </c>
      <c r="J604" s="9"/>
      <c r="K604" s="20" t="s">
        <v>9</v>
      </c>
      <c r="L604" s="9" t="s">
        <v>1964</v>
      </c>
      <c r="M604" s="9" t="s">
        <v>1965</v>
      </c>
    </row>
    <row r="605" spans="1:13" ht="112.5">
      <c r="A605" s="18" t="s">
        <v>483</v>
      </c>
      <c r="B605" s="19" t="str">
        <f>INDEX(메뉴구조!$B$5:$B$300,MATCH($A605,메뉴구조!$A$5:$A$300,0))&amp;""</f>
        <v>MY</v>
      </c>
      <c r="C605" s="19" t="str">
        <f>INDEX(메뉴구조!$C$5:$C$300,MATCH($A605,메뉴구조!$A$5:$A$300,0))&amp;""</f>
        <v>설정</v>
      </c>
      <c r="D605" s="19" t="str">
        <f>INDEX(메뉴구조!$D$5:$D$300,MATCH($A605,메뉴구조!$A$5:$A$300,0))&amp;""</f>
        <v>정보설정</v>
      </c>
      <c r="E605" s="19" t="str">
        <f>INDEX(메뉴구조!$E$5:$E$300,MATCH($A605,메뉴구조!$A$5:$A$300,0))&amp;""</f>
        <v>—</v>
      </c>
      <c r="F605" s="9" t="str">
        <f>INDEX(메뉴구조!$G$5:$G$300,MATCH($A605,메뉴구조!$A$5:$A$300,0))&amp;""</f>
        <v>MY / 설정 / 정보설정</v>
      </c>
      <c r="G605" s="18">
        <v>1</v>
      </c>
      <c r="H605" s="9" t="s">
        <v>1966</v>
      </c>
      <c r="I605" s="9" t="s">
        <v>1967</v>
      </c>
      <c r="J605" s="9"/>
      <c r="K605" s="18" t="s">
        <v>17</v>
      </c>
      <c r="L605" s="9"/>
      <c r="M605" s="9"/>
    </row>
    <row r="606" spans="1:13" ht="62.5">
      <c r="A606" s="18" t="s">
        <v>483</v>
      </c>
      <c r="B606" s="19" t="str">
        <f>INDEX(메뉴구조!$B$5:$B$300,MATCH($A606,메뉴구조!$A$5:$A$300,0))&amp;""</f>
        <v>MY</v>
      </c>
      <c r="C606" s="19" t="str">
        <f>INDEX(메뉴구조!$C$5:$C$300,MATCH($A606,메뉴구조!$A$5:$A$300,0))&amp;""</f>
        <v>설정</v>
      </c>
      <c r="D606" s="19" t="str">
        <f>INDEX(메뉴구조!$D$5:$D$300,MATCH($A606,메뉴구조!$A$5:$A$300,0))&amp;""</f>
        <v>정보설정</v>
      </c>
      <c r="E606" s="19" t="str">
        <f>INDEX(메뉴구조!$E$5:$E$300,MATCH($A606,메뉴구조!$A$5:$A$300,0))&amp;""</f>
        <v>—</v>
      </c>
      <c r="F606" s="9" t="str">
        <f>INDEX(메뉴구조!$G$5:$G$300,MATCH($A606,메뉴구조!$A$5:$A$300,0))&amp;""</f>
        <v>MY / 설정 / 정보설정</v>
      </c>
      <c r="G606" s="18">
        <v>2</v>
      </c>
      <c r="H606" s="9" t="s">
        <v>1968</v>
      </c>
      <c r="I606" s="9" t="s">
        <v>1969</v>
      </c>
      <c r="J606" s="9"/>
      <c r="K606" s="18" t="s">
        <v>17</v>
      </c>
      <c r="L606" s="9"/>
      <c r="M606" s="9"/>
    </row>
    <row r="607" spans="1:13" ht="75">
      <c r="A607" s="18" t="s">
        <v>483</v>
      </c>
      <c r="B607" s="19" t="str">
        <f>INDEX(메뉴구조!$B$5:$B$300,MATCH($A607,메뉴구조!$A$5:$A$300,0))&amp;""</f>
        <v>MY</v>
      </c>
      <c r="C607" s="19" t="str">
        <f>INDEX(메뉴구조!$C$5:$C$300,MATCH($A607,메뉴구조!$A$5:$A$300,0))&amp;""</f>
        <v>설정</v>
      </c>
      <c r="D607" s="19" t="str">
        <f>INDEX(메뉴구조!$D$5:$D$300,MATCH($A607,메뉴구조!$A$5:$A$300,0))&amp;""</f>
        <v>정보설정</v>
      </c>
      <c r="E607" s="19" t="str">
        <f>INDEX(메뉴구조!$E$5:$E$300,MATCH($A607,메뉴구조!$A$5:$A$300,0))&amp;""</f>
        <v>—</v>
      </c>
      <c r="F607" s="9" t="str">
        <f>INDEX(메뉴구조!$G$5:$G$300,MATCH($A607,메뉴구조!$A$5:$A$300,0))&amp;""</f>
        <v>MY / 설정 / 정보설정</v>
      </c>
      <c r="G607" s="18">
        <v>3</v>
      </c>
      <c r="H607" s="9" t="s">
        <v>1970</v>
      </c>
      <c r="I607" s="9" t="s">
        <v>1971</v>
      </c>
      <c r="J607" s="9"/>
      <c r="K607" s="18" t="s">
        <v>17</v>
      </c>
      <c r="L607" s="9"/>
      <c r="M607" s="9"/>
    </row>
    <row r="608" spans="1:13" ht="50">
      <c r="A608" s="18" t="s">
        <v>483</v>
      </c>
      <c r="B608" s="19" t="str">
        <f>INDEX(메뉴구조!$B$5:$B$300,MATCH($A608,메뉴구조!$A$5:$A$300,0))&amp;""</f>
        <v>MY</v>
      </c>
      <c r="C608" s="19" t="str">
        <f>INDEX(메뉴구조!$C$5:$C$300,MATCH($A608,메뉴구조!$A$5:$A$300,0))&amp;""</f>
        <v>설정</v>
      </c>
      <c r="D608" s="19" t="str">
        <f>INDEX(메뉴구조!$D$5:$D$300,MATCH($A608,메뉴구조!$A$5:$A$300,0))&amp;""</f>
        <v>정보설정</v>
      </c>
      <c r="E608" s="19" t="str">
        <f>INDEX(메뉴구조!$E$5:$E$300,MATCH($A608,메뉴구조!$A$5:$A$300,0))&amp;""</f>
        <v>—</v>
      </c>
      <c r="F608" s="9" t="str">
        <f>INDEX(메뉴구조!$G$5:$G$300,MATCH($A608,메뉴구조!$A$5:$A$300,0))&amp;""</f>
        <v>MY / 설정 / 정보설정</v>
      </c>
      <c r="G608" s="18">
        <v>4</v>
      </c>
      <c r="H608" s="9" t="s">
        <v>1972</v>
      </c>
      <c r="I608" s="9" t="s">
        <v>1973</v>
      </c>
      <c r="J608" s="9"/>
      <c r="K608" s="18" t="s">
        <v>17</v>
      </c>
      <c r="L608" s="9"/>
      <c r="M608" s="9"/>
    </row>
    <row r="609" spans="1:13" ht="25">
      <c r="A609" s="18" t="s">
        <v>483</v>
      </c>
      <c r="B609" s="19" t="str">
        <f>INDEX(메뉴구조!$B$5:$B$300,MATCH($A609,메뉴구조!$A$5:$A$300,0))&amp;""</f>
        <v>MY</v>
      </c>
      <c r="C609" s="19" t="str">
        <f>INDEX(메뉴구조!$C$5:$C$300,MATCH($A609,메뉴구조!$A$5:$A$300,0))&amp;""</f>
        <v>설정</v>
      </c>
      <c r="D609" s="19" t="str">
        <f>INDEX(메뉴구조!$D$5:$D$300,MATCH($A609,메뉴구조!$A$5:$A$300,0))&amp;""</f>
        <v>정보설정</v>
      </c>
      <c r="E609" s="19" t="str">
        <f>INDEX(메뉴구조!$E$5:$E$300,MATCH($A609,메뉴구조!$A$5:$A$300,0))&amp;""</f>
        <v>—</v>
      </c>
      <c r="F609" s="9" t="str">
        <f>INDEX(메뉴구조!$G$5:$G$300,MATCH($A609,메뉴구조!$A$5:$A$300,0))&amp;""</f>
        <v>MY / 설정 / 정보설정</v>
      </c>
      <c r="G609" s="18">
        <v>5</v>
      </c>
      <c r="H609" s="9" t="s">
        <v>1974</v>
      </c>
      <c r="I609" s="9" t="s">
        <v>1975</v>
      </c>
      <c r="J609" s="9"/>
      <c r="K609" s="18" t="s">
        <v>17</v>
      </c>
      <c r="L609" s="9"/>
      <c r="M609" s="9"/>
    </row>
    <row r="610" spans="1:13" ht="50">
      <c r="A610" s="18" t="s">
        <v>483</v>
      </c>
      <c r="B610" s="19" t="str">
        <f>INDEX(메뉴구조!$B$5:$B$300,MATCH($A610,메뉴구조!$A$5:$A$300,0))&amp;""</f>
        <v>MY</v>
      </c>
      <c r="C610" s="19" t="str">
        <f>INDEX(메뉴구조!$C$5:$C$300,MATCH($A610,메뉴구조!$A$5:$A$300,0))&amp;""</f>
        <v>설정</v>
      </c>
      <c r="D610" s="19" t="str">
        <f>INDEX(메뉴구조!$D$5:$D$300,MATCH($A610,메뉴구조!$A$5:$A$300,0))&amp;""</f>
        <v>정보설정</v>
      </c>
      <c r="E610" s="19" t="str">
        <f>INDEX(메뉴구조!$E$5:$E$300,MATCH($A610,메뉴구조!$A$5:$A$300,0))&amp;""</f>
        <v>—</v>
      </c>
      <c r="F610" s="9" t="str">
        <f>INDEX(메뉴구조!$G$5:$G$300,MATCH($A610,메뉴구조!$A$5:$A$300,0))&amp;""</f>
        <v>MY / 설정 / 정보설정</v>
      </c>
      <c r="G610" s="18">
        <v>6</v>
      </c>
      <c r="H610" s="9" t="s">
        <v>488</v>
      </c>
      <c r="I610" s="9" t="s">
        <v>1976</v>
      </c>
      <c r="J610" s="9" t="s">
        <v>1977</v>
      </c>
      <c r="K610" s="18" t="s">
        <v>17</v>
      </c>
      <c r="L610" s="9"/>
      <c r="M610" s="9"/>
    </row>
    <row r="611" spans="1:13" ht="50">
      <c r="A611" s="18" t="s">
        <v>487</v>
      </c>
      <c r="B611" s="19" t="str">
        <f>INDEX(메뉴구조!$B$5:$B$300,MATCH($A611,메뉴구조!$A$5:$A$300,0))&amp;""</f>
        <v>MY</v>
      </c>
      <c r="C611" s="19" t="str">
        <f>INDEX(메뉴구조!$C$5:$C$300,MATCH($A611,메뉴구조!$A$5:$A$300,0))&amp;""</f>
        <v>설정</v>
      </c>
      <c r="D611" s="19" t="str">
        <f>INDEX(메뉴구조!$D$5:$D$300,MATCH($A611,메뉴구조!$A$5:$A$300,0))&amp;""</f>
        <v>회원탈퇴</v>
      </c>
      <c r="E611" s="19" t="str">
        <f>INDEX(메뉴구조!$E$5:$E$300,MATCH($A611,메뉴구조!$A$5:$A$300,0))&amp;""</f>
        <v>회원 상태</v>
      </c>
      <c r="F611" s="9" t="str">
        <f>INDEX(메뉴구조!$G$5:$G$300,MATCH($A611,메뉴구조!$A$5:$A$300,0))&amp;""</f>
        <v>MY / 설정 / 회원탈퇴 / 회원 상태</v>
      </c>
      <c r="G611" s="18">
        <v>1</v>
      </c>
      <c r="H611" s="9" t="s">
        <v>1978</v>
      </c>
      <c r="I611" s="9" t="s">
        <v>1979</v>
      </c>
      <c r="J611" s="9" t="s">
        <v>1980</v>
      </c>
      <c r="K611" s="18" t="s">
        <v>17</v>
      </c>
      <c r="L611" s="9"/>
      <c r="M611" s="9"/>
    </row>
    <row r="612" spans="1:13" ht="25">
      <c r="A612" s="18" t="s">
        <v>487</v>
      </c>
      <c r="B612" s="19" t="str">
        <f>INDEX(메뉴구조!$B$5:$B$300,MATCH($A612,메뉴구조!$A$5:$A$300,0))&amp;""</f>
        <v>MY</v>
      </c>
      <c r="C612" s="19" t="str">
        <f>INDEX(메뉴구조!$C$5:$C$300,MATCH($A612,메뉴구조!$A$5:$A$300,0))&amp;""</f>
        <v>설정</v>
      </c>
      <c r="D612" s="19" t="str">
        <f>INDEX(메뉴구조!$D$5:$D$300,MATCH($A612,메뉴구조!$A$5:$A$300,0))&amp;""</f>
        <v>회원탈퇴</v>
      </c>
      <c r="E612" s="19" t="str">
        <f>INDEX(메뉴구조!$E$5:$E$300,MATCH($A612,메뉴구조!$A$5:$A$300,0))&amp;""</f>
        <v>회원 상태</v>
      </c>
      <c r="F612" s="9" t="str">
        <f>INDEX(메뉴구조!$G$5:$G$300,MATCH($A612,메뉴구조!$A$5:$A$300,0))&amp;""</f>
        <v>MY / 설정 / 회원탈퇴 / 회원 상태</v>
      </c>
      <c r="G612" s="18">
        <v>2</v>
      </c>
      <c r="H612" s="31" t="s">
        <v>1981</v>
      </c>
      <c r="I612" s="31" t="s">
        <v>1982</v>
      </c>
      <c r="J612" s="9"/>
      <c r="K612" s="20" t="s">
        <v>9</v>
      </c>
      <c r="L612" s="9" t="s">
        <v>1983</v>
      </c>
      <c r="M612" s="9" t="s">
        <v>1984</v>
      </c>
    </row>
    <row r="613" spans="1:13" ht="50">
      <c r="A613" s="18" t="s">
        <v>487</v>
      </c>
      <c r="B613" s="19" t="str">
        <f>INDEX(메뉴구조!$B$5:$B$300,MATCH($A613,메뉴구조!$A$5:$A$300,0))&amp;""</f>
        <v>MY</v>
      </c>
      <c r="C613" s="19" t="str">
        <f>INDEX(메뉴구조!$C$5:$C$300,MATCH($A613,메뉴구조!$A$5:$A$300,0))&amp;""</f>
        <v>설정</v>
      </c>
      <c r="D613" s="19" t="str">
        <f>INDEX(메뉴구조!$D$5:$D$300,MATCH($A613,메뉴구조!$A$5:$A$300,0))&amp;""</f>
        <v>회원탈퇴</v>
      </c>
      <c r="E613" s="19" t="str">
        <f>INDEX(메뉴구조!$E$5:$E$300,MATCH($A613,메뉴구조!$A$5:$A$300,0))&amp;""</f>
        <v>회원 상태</v>
      </c>
      <c r="F613" s="9" t="str">
        <f>INDEX(메뉴구조!$G$5:$G$300,MATCH($A613,메뉴구조!$A$5:$A$300,0))&amp;""</f>
        <v>MY / 설정 / 회원탈퇴 / 회원 상태</v>
      </c>
      <c r="G613" s="18">
        <v>3</v>
      </c>
      <c r="H613" s="9" t="s">
        <v>1985</v>
      </c>
      <c r="I613" s="9" t="s">
        <v>1986</v>
      </c>
      <c r="J613" s="9"/>
      <c r="K613" s="18" t="s">
        <v>17</v>
      </c>
      <c r="L613" s="9"/>
      <c r="M613" s="9"/>
    </row>
    <row r="614" spans="1:13" ht="112.5">
      <c r="A614" s="18" t="s">
        <v>487</v>
      </c>
      <c r="B614" s="19" t="str">
        <f>INDEX(메뉴구조!$B$5:$B$300,MATCH($A614,메뉴구조!$A$5:$A$300,0))&amp;""</f>
        <v>MY</v>
      </c>
      <c r="C614" s="19" t="str">
        <f>INDEX(메뉴구조!$C$5:$C$300,MATCH($A614,메뉴구조!$A$5:$A$300,0))&amp;""</f>
        <v>설정</v>
      </c>
      <c r="D614" s="19" t="str">
        <f>INDEX(메뉴구조!$D$5:$D$300,MATCH($A614,메뉴구조!$A$5:$A$300,0))&amp;""</f>
        <v>회원탈퇴</v>
      </c>
      <c r="E614" s="19" t="str">
        <f>INDEX(메뉴구조!$E$5:$E$300,MATCH($A614,메뉴구조!$A$5:$A$300,0))&amp;""</f>
        <v>회원 상태</v>
      </c>
      <c r="F614" s="9" t="str">
        <f>INDEX(메뉴구조!$G$5:$G$300,MATCH($A614,메뉴구조!$A$5:$A$300,0))&amp;""</f>
        <v>MY / 설정 / 회원탈퇴 / 회원 상태</v>
      </c>
      <c r="G614" s="18">
        <v>4</v>
      </c>
      <c r="H614" s="9" t="s">
        <v>1987</v>
      </c>
      <c r="I614" s="9" t="s">
        <v>1988</v>
      </c>
      <c r="J614" s="9" t="s">
        <v>1989</v>
      </c>
      <c r="K614" s="18" t="s">
        <v>17</v>
      </c>
      <c r="L614" s="9"/>
      <c r="M614" s="9"/>
    </row>
    <row r="615" spans="1:13" ht="37.5">
      <c r="A615" s="18" t="s">
        <v>487</v>
      </c>
      <c r="B615" s="19" t="str">
        <f>INDEX(메뉴구조!$B$5:$B$300,MATCH($A615,메뉴구조!$A$5:$A$300,0))&amp;""</f>
        <v>MY</v>
      </c>
      <c r="C615" s="19" t="str">
        <f>INDEX(메뉴구조!$C$5:$C$300,MATCH($A615,메뉴구조!$A$5:$A$300,0))&amp;""</f>
        <v>설정</v>
      </c>
      <c r="D615" s="19" t="str">
        <f>INDEX(메뉴구조!$D$5:$D$300,MATCH($A615,메뉴구조!$A$5:$A$300,0))&amp;""</f>
        <v>회원탈퇴</v>
      </c>
      <c r="E615" s="19" t="str">
        <f>INDEX(메뉴구조!$E$5:$E$300,MATCH($A615,메뉴구조!$A$5:$A$300,0))&amp;""</f>
        <v>회원 상태</v>
      </c>
      <c r="F615" s="9" t="str">
        <f>INDEX(메뉴구조!$G$5:$G$300,MATCH($A615,메뉴구조!$A$5:$A$300,0))&amp;""</f>
        <v>MY / 설정 / 회원탈퇴 / 회원 상태</v>
      </c>
      <c r="G615" s="18">
        <v>5</v>
      </c>
      <c r="H615" s="9" t="s">
        <v>1990</v>
      </c>
      <c r="I615" s="9" t="s">
        <v>1991</v>
      </c>
      <c r="J615" s="9"/>
      <c r="K615" s="18" t="s">
        <v>17</v>
      </c>
      <c r="L615" s="9"/>
      <c r="M615" s="9"/>
    </row>
    <row r="616" spans="1:13" ht="50">
      <c r="A616" s="18" t="s">
        <v>491</v>
      </c>
      <c r="B616" s="19" t="str">
        <f>INDEX(메뉴구조!$B$5:$B$300,MATCH($A616,메뉴구조!$A$5:$A$300,0))&amp;""</f>
        <v>MY</v>
      </c>
      <c r="C616" s="19" t="str">
        <f>INDEX(메뉴구조!$C$5:$C$300,MATCH($A616,메뉴구조!$A$5:$A$300,0))&amp;""</f>
        <v>설정</v>
      </c>
      <c r="D616" s="19" t="str">
        <f>INDEX(메뉴구조!$D$5:$D$300,MATCH($A616,메뉴구조!$A$5:$A$300,0))&amp;""</f>
        <v>회원탈퇴</v>
      </c>
      <c r="E616" s="19" t="str">
        <f>INDEX(메뉴구조!$E$5:$E$300,MATCH($A616,메뉴구조!$A$5:$A$300,0))&amp;""</f>
        <v>탈퇴사유</v>
      </c>
      <c r="F616" s="9" t="str">
        <f>INDEX(메뉴구조!$G$5:$G$300,MATCH($A616,메뉴구조!$A$5:$A$300,0))&amp;""</f>
        <v>MY / 설정 / 회원탈퇴 / 탈퇴사유</v>
      </c>
      <c r="G616" s="18">
        <v>1</v>
      </c>
      <c r="H616" s="9" t="s">
        <v>1992</v>
      </c>
      <c r="I616" s="9" t="s">
        <v>1993</v>
      </c>
      <c r="J616" s="9"/>
      <c r="K616" s="25" t="s">
        <v>13</v>
      </c>
      <c r="L616" s="9" t="s">
        <v>851</v>
      </c>
      <c r="M616" s="9"/>
    </row>
    <row r="617" spans="1:13" ht="50">
      <c r="A617" s="18" t="s">
        <v>491</v>
      </c>
      <c r="B617" s="19" t="str">
        <f>INDEX(메뉴구조!$B$5:$B$300,MATCH($A617,메뉴구조!$A$5:$A$300,0))&amp;""</f>
        <v>MY</v>
      </c>
      <c r="C617" s="19" t="str">
        <f>INDEX(메뉴구조!$C$5:$C$300,MATCH($A617,메뉴구조!$A$5:$A$300,0))&amp;""</f>
        <v>설정</v>
      </c>
      <c r="D617" s="19" t="str">
        <f>INDEX(메뉴구조!$D$5:$D$300,MATCH($A617,메뉴구조!$A$5:$A$300,0))&amp;""</f>
        <v>회원탈퇴</v>
      </c>
      <c r="E617" s="19" t="str">
        <f>INDEX(메뉴구조!$E$5:$E$300,MATCH($A617,메뉴구조!$A$5:$A$300,0))&amp;""</f>
        <v>탈퇴사유</v>
      </c>
      <c r="F617" s="9" t="str">
        <f>INDEX(메뉴구조!$G$5:$G$300,MATCH($A617,메뉴구조!$A$5:$A$300,0))&amp;""</f>
        <v>MY / 설정 / 회원탈퇴 / 탈퇴사유</v>
      </c>
      <c r="G617" s="18">
        <v>2</v>
      </c>
      <c r="H617" s="9" t="s">
        <v>1994</v>
      </c>
      <c r="I617" s="9" t="s">
        <v>1995</v>
      </c>
      <c r="J617" s="9"/>
      <c r="K617" s="25" t="s">
        <v>13</v>
      </c>
      <c r="L617" s="9" t="s">
        <v>851</v>
      </c>
      <c r="M617" s="9"/>
    </row>
    <row r="618" spans="1:13" ht="37.5">
      <c r="A618" s="18" t="s">
        <v>491</v>
      </c>
      <c r="B618" s="19" t="str">
        <f>INDEX(메뉴구조!$B$5:$B$300,MATCH($A618,메뉴구조!$A$5:$A$300,0))&amp;""</f>
        <v>MY</v>
      </c>
      <c r="C618" s="19" t="str">
        <f>INDEX(메뉴구조!$C$5:$C$300,MATCH($A618,메뉴구조!$A$5:$A$300,0))&amp;""</f>
        <v>설정</v>
      </c>
      <c r="D618" s="19" t="str">
        <f>INDEX(메뉴구조!$D$5:$D$300,MATCH($A618,메뉴구조!$A$5:$A$300,0))&amp;""</f>
        <v>회원탈퇴</v>
      </c>
      <c r="E618" s="19" t="str">
        <f>INDEX(메뉴구조!$E$5:$E$300,MATCH($A618,메뉴구조!$A$5:$A$300,0))&amp;""</f>
        <v>탈퇴사유</v>
      </c>
      <c r="F618" s="9" t="str">
        <f>INDEX(메뉴구조!$G$5:$G$300,MATCH($A618,메뉴구조!$A$5:$A$300,0))&amp;""</f>
        <v>MY / 설정 / 회원탈퇴 / 탈퇴사유</v>
      </c>
      <c r="G618" s="18">
        <v>3</v>
      </c>
      <c r="H618" s="9" t="s">
        <v>1996</v>
      </c>
      <c r="I618" s="9" t="s">
        <v>1997</v>
      </c>
      <c r="J618" s="9" t="s">
        <v>1998</v>
      </c>
      <c r="K618" s="25" t="s">
        <v>13</v>
      </c>
      <c r="L618" s="9" t="s">
        <v>851</v>
      </c>
      <c r="M618" s="9"/>
    </row>
    <row r="619" spans="1:13" ht="50" hidden="1">
      <c r="A619" s="18" t="s">
        <v>495</v>
      </c>
      <c r="B619" s="19" t="str">
        <f>INDEX(메뉴구조!$B$5:$B$300,MATCH($A619,메뉴구조!$A$5:$A$300,0))&amp;""</f>
        <v>더보기</v>
      </c>
      <c r="C619" s="19" t="str">
        <f>INDEX(메뉴구조!$C$5:$C$300,MATCH($A619,메뉴구조!$A$5:$A$300,0))&amp;""</f>
        <v>목록 (메인)</v>
      </c>
      <c r="D619" s="19" t="str">
        <f>INDEX(메뉴구조!$D$5:$D$300,MATCH($A619,메뉴구조!$A$5:$A$300,0))&amp;""</f>
        <v>—</v>
      </c>
      <c r="E619" s="19" t="str">
        <f>INDEX(메뉴구조!$E$5:$E$300,MATCH($A619,메뉴구조!$A$5:$A$300,0))&amp;""</f>
        <v>—</v>
      </c>
      <c r="F619" s="9" t="str">
        <f>INDEX(메뉴구조!$G$5:$G$300,MATCH($A619,메뉴구조!$A$5:$A$300,0))&amp;""</f>
        <v>더보기 / 목록 (메인)</v>
      </c>
      <c r="G619" s="18">
        <v>1</v>
      </c>
      <c r="H619" s="9" t="s">
        <v>1999</v>
      </c>
      <c r="I619" s="9" t="s">
        <v>2000</v>
      </c>
      <c r="J619" s="9"/>
      <c r="K619" s="18" t="s">
        <v>17</v>
      </c>
      <c r="L619" s="9"/>
      <c r="M619" s="9"/>
    </row>
    <row r="620" spans="1:13" ht="112.5" hidden="1">
      <c r="A620" s="18" t="s">
        <v>495</v>
      </c>
      <c r="B620" s="19" t="str">
        <f>INDEX(메뉴구조!$B$5:$B$300,MATCH($A620,메뉴구조!$A$5:$A$300,0))&amp;""</f>
        <v>더보기</v>
      </c>
      <c r="C620" s="19" t="str">
        <f>INDEX(메뉴구조!$C$5:$C$300,MATCH($A620,메뉴구조!$A$5:$A$300,0))&amp;""</f>
        <v>목록 (메인)</v>
      </c>
      <c r="D620" s="19" t="str">
        <f>INDEX(메뉴구조!$D$5:$D$300,MATCH($A620,메뉴구조!$A$5:$A$300,0))&amp;""</f>
        <v>—</v>
      </c>
      <c r="E620" s="19" t="str">
        <f>INDEX(메뉴구조!$E$5:$E$300,MATCH($A620,메뉴구조!$A$5:$A$300,0))&amp;""</f>
        <v>—</v>
      </c>
      <c r="F620" s="9" t="str">
        <f>INDEX(메뉴구조!$G$5:$G$300,MATCH($A620,메뉴구조!$A$5:$A$300,0))&amp;""</f>
        <v>더보기 / 목록 (메인)</v>
      </c>
      <c r="G620" s="18">
        <v>2</v>
      </c>
      <c r="H620" s="31" t="s">
        <v>2001</v>
      </c>
      <c r="I620" s="31" t="s">
        <v>2002</v>
      </c>
      <c r="J620" s="9"/>
      <c r="K620" s="20" t="s">
        <v>9</v>
      </c>
      <c r="L620" s="9" t="s">
        <v>2003</v>
      </c>
      <c r="M620" s="9" t="s">
        <v>2004</v>
      </c>
    </row>
    <row r="621" spans="1:13" ht="87.5" hidden="1">
      <c r="A621" s="18" t="s">
        <v>495</v>
      </c>
      <c r="B621" s="19" t="str">
        <f>INDEX(메뉴구조!$B$5:$B$300,MATCH($A621,메뉴구조!$A$5:$A$300,0))&amp;""</f>
        <v>더보기</v>
      </c>
      <c r="C621" s="19" t="str">
        <f>INDEX(메뉴구조!$C$5:$C$300,MATCH($A621,메뉴구조!$A$5:$A$300,0))&amp;""</f>
        <v>목록 (메인)</v>
      </c>
      <c r="D621" s="19" t="str">
        <f>INDEX(메뉴구조!$D$5:$D$300,MATCH($A621,메뉴구조!$A$5:$A$300,0))&amp;""</f>
        <v>—</v>
      </c>
      <c r="E621" s="19" t="str">
        <f>INDEX(메뉴구조!$E$5:$E$300,MATCH($A621,메뉴구조!$A$5:$A$300,0))&amp;""</f>
        <v>—</v>
      </c>
      <c r="F621" s="9" t="str">
        <f>INDEX(메뉴구조!$G$5:$G$300,MATCH($A621,메뉴구조!$A$5:$A$300,0))&amp;""</f>
        <v>더보기 / 목록 (메인)</v>
      </c>
      <c r="G621" s="18">
        <v>3</v>
      </c>
      <c r="H621" s="31" t="s">
        <v>2005</v>
      </c>
      <c r="I621" s="31" t="s">
        <v>2006</v>
      </c>
      <c r="J621" s="9"/>
      <c r="K621" s="20" t="s">
        <v>9</v>
      </c>
      <c r="L621" s="9" t="s">
        <v>2007</v>
      </c>
      <c r="M621" s="9" t="s">
        <v>2008</v>
      </c>
    </row>
    <row r="622" spans="1:13" ht="62.5" hidden="1">
      <c r="A622" s="18" t="s">
        <v>495</v>
      </c>
      <c r="B622" s="19" t="str">
        <f>INDEX(메뉴구조!$B$5:$B$300,MATCH($A622,메뉴구조!$A$5:$A$300,0))&amp;""</f>
        <v>더보기</v>
      </c>
      <c r="C622" s="19" t="str">
        <f>INDEX(메뉴구조!$C$5:$C$300,MATCH($A622,메뉴구조!$A$5:$A$300,0))&amp;""</f>
        <v>목록 (메인)</v>
      </c>
      <c r="D622" s="19" t="str">
        <f>INDEX(메뉴구조!$D$5:$D$300,MATCH($A622,메뉴구조!$A$5:$A$300,0))&amp;""</f>
        <v>—</v>
      </c>
      <c r="E622" s="19" t="str">
        <f>INDEX(메뉴구조!$E$5:$E$300,MATCH($A622,메뉴구조!$A$5:$A$300,0))&amp;""</f>
        <v>—</v>
      </c>
      <c r="F622" s="9" t="str">
        <f>INDEX(메뉴구조!$G$5:$G$300,MATCH($A622,메뉴구조!$A$5:$A$300,0))&amp;""</f>
        <v>더보기 / 목록 (메인)</v>
      </c>
      <c r="G622" s="18">
        <v>4</v>
      </c>
      <c r="H622" s="31" t="s">
        <v>2009</v>
      </c>
      <c r="I622" s="31" t="s">
        <v>2010</v>
      </c>
      <c r="J622" s="9"/>
      <c r="K622" s="20" t="s">
        <v>9</v>
      </c>
      <c r="L622" s="9" t="s">
        <v>2011</v>
      </c>
      <c r="M622" s="9" t="s">
        <v>2012</v>
      </c>
    </row>
    <row r="623" spans="1:13" ht="62.5" hidden="1">
      <c r="A623" s="18" t="s">
        <v>495</v>
      </c>
      <c r="B623" s="19" t="str">
        <f>INDEX(메뉴구조!$B$5:$B$300,MATCH($A623,메뉴구조!$A$5:$A$300,0))&amp;""</f>
        <v>더보기</v>
      </c>
      <c r="C623" s="19" t="str">
        <f>INDEX(메뉴구조!$C$5:$C$300,MATCH($A623,메뉴구조!$A$5:$A$300,0))&amp;""</f>
        <v>목록 (메인)</v>
      </c>
      <c r="D623" s="19" t="str">
        <f>INDEX(메뉴구조!$D$5:$D$300,MATCH($A623,메뉴구조!$A$5:$A$300,0))&amp;""</f>
        <v>—</v>
      </c>
      <c r="E623" s="19" t="str">
        <f>INDEX(메뉴구조!$E$5:$E$300,MATCH($A623,메뉴구조!$A$5:$A$300,0))&amp;""</f>
        <v>—</v>
      </c>
      <c r="F623" s="9" t="str">
        <f>INDEX(메뉴구조!$G$5:$G$300,MATCH($A623,메뉴구조!$A$5:$A$300,0))&amp;""</f>
        <v>더보기 / 목록 (메인)</v>
      </c>
      <c r="G623" s="18">
        <v>5</v>
      </c>
      <c r="H623" s="9" t="s">
        <v>2013</v>
      </c>
      <c r="I623" s="9" t="s">
        <v>2014</v>
      </c>
      <c r="J623" s="9"/>
      <c r="K623" s="18" t="s">
        <v>17</v>
      </c>
      <c r="L623" s="9"/>
      <c r="M623" s="9"/>
    </row>
    <row r="624" spans="1:13" ht="62.5" hidden="1">
      <c r="A624" s="18" t="s">
        <v>495</v>
      </c>
      <c r="B624" s="19" t="str">
        <f>INDEX(메뉴구조!$B$5:$B$300,MATCH($A624,메뉴구조!$A$5:$A$300,0))&amp;""</f>
        <v>더보기</v>
      </c>
      <c r="C624" s="19" t="str">
        <f>INDEX(메뉴구조!$C$5:$C$300,MATCH($A624,메뉴구조!$A$5:$A$300,0))&amp;""</f>
        <v>목록 (메인)</v>
      </c>
      <c r="D624" s="19" t="str">
        <f>INDEX(메뉴구조!$D$5:$D$300,MATCH($A624,메뉴구조!$A$5:$A$300,0))&amp;""</f>
        <v>—</v>
      </c>
      <c r="E624" s="19" t="str">
        <f>INDEX(메뉴구조!$E$5:$E$300,MATCH($A624,메뉴구조!$A$5:$A$300,0))&amp;""</f>
        <v>—</v>
      </c>
      <c r="F624" s="9" t="str">
        <f>INDEX(메뉴구조!$G$5:$G$300,MATCH($A624,메뉴구조!$A$5:$A$300,0))&amp;""</f>
        <v>더보기 / 목록 (메인)</v>
      </c>
      <c r="G624" s="18">
        <v>6</v>
      </c>
      <c r="H624" s="9" t="s">
        <v>2015</v>
      </c>
      <c r="I624" s="9" t="s">
        <v>2016</v>
      </c>
      <c r="J624" s="9"/>
      <c r="K624" s="18" t="s">
        <v>17</v>
      </c>
      <c r="L624" s="9"/>
      <c r="M624" s="9"/>
    </row>
    <row r="625" spans="1:13" hidden="1">
      <c r="A625" s="18" t="s">
        <v>500</v>
      </c>
      <c r="B625" s="19" t="str">
        <f>INDEX(메뉴구조!$B$5:$B$300,MATCH($A625,메뉴구조!$A$5:$A$300,0))&amp;""</f>
        <v>더보기</v>
      </c>
      <c r="C625" s="19" t="str">
        <f>INDEX(메뉴구조!$C$5:$C$300,MATCH($A625,메뉴구조!$A$5:$A$300,0))&amp;""</f>
        <v>공지사항</v>
      </c>
      <c r="D625" s="19" t="str">
        <f>INDEX(메뉴구조!$D$5:$D$300,MATCH($A625,메뉴구조!$A$5:$A$300,0))&amp;""</f>
        <v>목록</v>
      </c>
      <c r="E625" s="19" t="str">
        <f>INDEX(메뉴구조!$E$5:$E$300,MATCH($A625,메뉴구조!$A$5:$A$300,0))&amp;""</f>
        <v>—</v>
      </c>
      <c r="F625" s="9" t="str">
        <f>INDEX(메뉴구조!$G$5:$G$300,MATCH($A625,메뉴구조!$A$5:$A$300,0))&amp;""</f>
        <v>더보기 / 공지사항 / 목록</v>
      </c>
      <c r="G625" s="18">
        <v>1</v>
      </c>
      <c r="H625" s="9" t="s">
        <v>675</v>
      </c>
      <c r="I625" s="9" t="s">
        <v>2017</v>
      </c>
      <c r="J625" s="9"/>
      <c r="K625" s="18" t="s">
        <v>17</v>
      </c>
      <c r="L625" s="9"/>
      <c r="M625" s="9"/>
    </row>
    <row r="626" spans="1:13" ht="50" hidden="1">
      <c r="A626" s="18" t="s">
        <v>500</v>
      </c>
      <c r="B626" s="19" t="str">
        <f>INDEX(메뉴구조!$B$5:$B$300,MATCH($A626,메뉴구조!$A$5:$A$300,0))&amp;""</f>
        <v>더보기</v>
      </c>
      <c r="C626" s="19" t="str">
        <f>INDEX(메뉴구조!$C$5:$C$300,MATCH($A626,메뉴구조!$A$5:$A$300,0))&amp;""</f>
        <v>공지사항</v>
      </c>
      <c r="D626" s="19" t="str">
        <f>INDEX(메뉴구조!$D$5:$D$300,MATCH($A626,메뉴구조!$A$5:$A$300,0))&amp;""</f>
        <v>목록</v>
      </c>
      <c r="E626" s="19" t="str">
        <f>INDEX(메뉴구조!$E$5:$E$300,MATCH($A626,메뉴구조!$A$5:$A$300,0))&amp;""</f>
        <v>—</v>
      </c>
      <c r="F626" s="9" t="str">
        <f>INDEX(메뉴구조!$G$5:$G$300,MATCH($A626,메뉴구조!$A$5:$A$300,0))&amp;""</f>
        <v>더보기 / 공지사항 / 목록</v>
      </c>
      <c r="G626" s="18">
        <v>2</v>
      </c>
      <c r="H626" s="9" t="s">
        <v>2018</v>
      </c>
      <c r="I626" s="9" t="s">
        <v>2019</v>
      </c>
      <c r="J626" s="9"/>
      <c r="K626" s="18" t="s">
        <v>17</v>
      </c>
      <c r="L626" s="9"/>
      <c r="M626" s="9"/>
    </row>
    <row r="627" spans="1:13" ht="50" hidden="1">
      <c r="A627" s="18" t="s">
        <v>500</v>
      </c>
      <c r="B627" s="19" t="str">
        <f>INDEX(메뉴구조!$B$5:$B$300,MATCH($A627,메뉴구조!$A$5:$A$300,0))&amp;""</f>
        <v>더보기</v>
      </c>
      <c r="C627" s="19" t="str">
        <f>INDEX(메뉴구조!$C$5:$C$300,MATCH($A627,메뉴구조!$A$5:$A$300,0))&amp;""</f>
        <v>공지사항</v>
      </c>
      <c r="D627" s="19" t="str">
        <f>INDEX(메뉴구조!$D$5:$D$300,MATCH($A627,메뉴구조!$A$5:$A$300,0))&amp;""</f>
        <v>목록</v>
      </c>
      <c r="E627" s="19" t="str">
        <f>INDEX(메뉴구조!$E$5:$E$300,MATCH($A627,메뉴구조!$A$5:$A$300,0))&amp;""</f>
        <v>—</v>
      </c>
      <c r="F627" s="9" t="str">
        <f>INDEX(메뉴구조!$G$5:$G$300,MATCH($A627,메뉴구조!$A$5:$A$300,0))&amp;""</f>
        <v>더보기 / 공지사항 / 목록</v>
      </c>
      <c r="G627" s="18">
        <v>3</v>
      </c>
      <c r="H627" s="9" t="s">
        <v>2020</v>
      </c>
      <c r="I627" s="9" t="s">
        <v>2021</v>
      </c>
      <c r="J627" s="9" t="s">
        <v>2022</v>
      </c>
      <c r="K627" s="18" t="s">
        <v>17</v>
      </c>
      <c r="L627" s="9"/>
      <c r="M627" s="9"/>
    </row>
    <row r="628" spans="1:13" ht="37.5" hidden="1">
      <c r="A628" s="18" t="s">
        <v>500</v>
      </c>
      <c r="B628" s="19" t="str">
        <f>INDEX(메뉴구조!$B$5:$B$300,MATCH($A628,메뉴구조!$A$5:$A$300,0))&amp;""</f>
        <v>더보기</v>
      </c>
      <c r="C628" s="19" t="str">
        <f>INDEX(메뉴구조!$C$5:$C$300,MATCH($A628,메뉴구조!$A$5:$A$300,0))&amp;""</f>
        <v>공지사항</v>
      </c>
      <c r="D628" s="19" t="str">
        <f>INDEX(메뉴구조!$D$5:$D$300,MATCH($A628,메뉴구조!$A$5:$A$300,0))&amp;""</f>
        <v>목록</v>
      </c>
      <c r="E628" s="19" t="str">
        <f>INDEX(메뉴구조!$E$5:$E$300,MATCH($A628,메뉴구조!$A$5:$A$300,0))&amp;""</f>
        <v>—</v>
      </c>
      <c r="F628" s="9" t="str">
        <f>INDEX(메뉴구조!$G$5:$G$300,MATCH($A628,메뉴구조!$A$5:$A$300,0))&amp;""</f>
        <v>더보기 / 공지사항 / 목록</v>
      </c>
      <c r="G628" s="18">
        <v>4</v>
      </c>
      <c r="H628" s="9" t="s">
        <v>2023</v>
      </c>
      <c r="I628" s="9" t="s">
        <v>2024</v>
      </c>
      <c r="J628" s="9"/>
      <c r="K628" s="18" t="s">
        <v>17</v>
      </c>
      <c r="L628" s="9"/>
      <c r="M628" s="9"/>
    </row>
    <row r="629" spans="1:13" ht="50" hidden="1">
      <c r="A629" s="18" t="s">
        <v>500</v>
      </c>
      <c r="B629" s="19" t="str">
        <f>INDEX(메뉴구조!$B$5:$B$300,MATCH($A629,메뉴구조!$A$5:$A$300,0))&amp;""</f>
        <v>더보기</v>
      </c>
      <c r="C629" s="19" t="str">
        <f>INDEX(메뉴구조!$C$5:$C$300,MATCH($A629,메뉴구조!$A$5:$A$300,0))&amp;""</f>
        <v>공지사항</v>
      </c>
      <c r="D629" s="19" t="str">
        <f>INDEX(메뉴구조!$D$5:$D$300,MATCH($A629,메뉴구조!$A$5:$A$300,0))&amp;""</f>
        <v>목록</v>
      </c>
      <c r="E629" s="19" t="str">
        <f>INDEX(메뉴구조!$E$5:$E$300,MATCH($A629,메뉴구조!$A$5:$A$300,0))&amp;""</f>
        <v>—</v>
      </c>
      <c r="F629" s="9" t="str">
        <f>INDEX(메뉴구조!$G$5:$G$300,MATCH($A629,메뉴구조!$A$5:$A$300,0))&amp;""</f>
        <v>더보기 / 공지사항 / 목록</v>
      </c>
      <c r="G629" s="18">
        <v>5</v>
      </c>
      <c r="H629" s="9" t="s">
        <v>2025</v>
      </c>
      <c r="I629" s="9" t="s">
        <v>2026</v>
      </c>
      <c r="J629" s="9"/>
      <c r="K629" s="18" t="s">
        <v>17</v>
      </c>
      <c r="L629" s="9"/>
      <c r="M629" s="9"/>
    </row>
    <row r="630" spans="1:13" ht="50" hidden="1">
      <c r="A630" s="18" t="s">
        <v>500</v>
      </c>
      <c r="B630" s="19" t="str">
        <f>INDEX(메뉴구조!$B$5:$B$300,MATCH($A630,메뉴구조!$A$5:$A$300,0))&amp;""</f>
        <v>더보기</v>
      </c>
      <c r="C630" s="19" t="str">
        <f>INDEX(메뉴구조!$C$5:$C$300,MATCH($A630,메뉴구조!$A$5:$A$300,0))&amp;""</f>
        <v>공지사항</v>
      </c>
      <c r="D630" s="19" t="str">
        <f>INDEX(메뉴구조!$D$5:$D$300,MATCH($A630,메뉴구조!$A$5:$A$300,0))&amp;""</f>
        <v>목록</v>
      </c>
      <c r="E630" s="19" t="str">
        <f>INDEX(메뉴구조!$E$5:$E$300,MATCH($A630,메뉴구조!$A$5:$A$300,0))&amp;""</f>
        <v>—</v>
      </c>
      <c r="F630" s="9" t="str">
        <f>INDEX(메뉴구조!$G$5:$G$300,MATCH($A630,메뉴구조!$A$5:$A$300,0))&amp;""</f>
        <v>더보기 / 공지사항 / 목록</v>
      </c>
      <c r="G630" s="18">
        <v>6</v>
      </c>
      <c r="H630" s="32" t="s">
        <v>2027</v>
      </c>
      <c r="I630" s="32" t="s">
        <v>2028</v>
      </c>
      <c r="J630" s="32"/>
      <c r="K630" s="23" t="s">
        <v>7</v>
      </c>
      <c r="L630" s="9" t="s">
        <v>2029</v>
      </c>
      <c r="M630" s="9"/>
    </row>
    <row r="631" spans="1:13" ht="37.5" hidden="1">
      <c r="A631" s="18" t="s">
        <v>504</v>
      </c>
      <c r="B631" s="19" t="str">
        <f>INDEX(메뉴구조!$B$5:$B$300,MATCH($A631,메뉴구조!$A$5:$A$300,0))&amp;""</f>
        <v>더보기</v>
      </c>
      <c r="C631" s="19" t="str">
        <f>INDEX(메뉴구조!$C$5:$C$300,MATCH($A631,메뉴구조!$A$5:$A$300,0))&amp;""</f>
        <v>공지사항</v>
      </c>
      <c r="D631" s="19" t="str">
        <f>INDEX(메뉴구조!$D$5:$D$300,MATCH($A631,메뉴구조!$A$5:$A$300,0))&amp;""</f>
        <v>공지사항 상세</v>
      </c>
      <c r="E631" s="19" t="str">
        <f>INDEX(메뉴구조!$E$5:$E$300,MATCH($A631,메뉴구조!$A$5:$A$300,0))&amp;""</f>
        <v>—</v>
      </c>
      <c r="F631" s="9" t="str">
        <f>INDEX(메뉴구조!$G$5:$G$300,MATCH($A631,메뉴구조!$A$5:$A$300,0))&amp;""</f>
        <v>더보기 / 공지사항 / 공지사항 상세</v>
      </c>
      <c r="G631" s="18">
        <v>1</v>
      </c>
      <c r="H631" s="9" t="s">
        <v>2030</v>
      </c>
      <c r="I631" s="9" t="s">
        <v>2031</v>
      </c>
      <c r="J631" s="9"/>
      <c r="K631" s="18" t="s">
        <v>17</v>
      </c>
      <c r="L631" s="9"/>
      <c r="M631" s="9"/>
    </row>
    <row r="632" spans="1:13" ht="50" hidden="1">
      <c r="A632" s="18" t="s">
        <v>504</v>
      </c>
      <c r="B632" s="19" t="str">
        <f>INDEX(메뉴구조!$B$5:$B$300,MATCH($A632,메뉴구조!$A$5:$A$300,0))&amp;""</f>
        <v>더보기</v>
      </c>
      <c r="C632" s="19" t="str">
        <f>INDEX(메뉴구조!$C$5:$C$300,MATCH($A632,메뉴구조!$A$5:$A$300,0))&amp;""</f>
        <v>공지사항</v>
      </c>
      <c r="D632" s="19" t="str">
        <f>INDEX(메뉴구조!$D$5:$D$300,MATCH($A632,메뉴구조!$A$5:$A$300,0))&amp;""</f>
        <v>공지사항 상세</v>
      </c>
      <c r="E632" s="19" t="str">
        <f>INDEX(메뉴구조!$E$5:$E$300,MATCH($A632,메뉴구조!$A$5:$A$300,0))&amp;""</f>
        <v>—</v>
      </c>
      <c r="F632" s="9" t="str">
        <f>INDEX(메뉴구조!$G$5:$G$300,MATCH($A632,메뉴구조!$A$5:$A$300,0))&amp;""</f>
        <v>더보기 / 공지사항 / 공지사항 상세</v>
      </c>
      <c r="G632" s="18">
        <v>2</v>
      </c>
      <c r="H632" s="9" t="s">
        <v>2032</v>
      </c>
      <c r="I632" s="9" t="s">
        <v>2033</v>
      </c>
      <c r="J632" s="9" t="s">
        <v>2034</v>
      </c>
      <c r="K632" s="18" t="s">
        <v>17</v>
      </c>
      <c r="L632" s="9"/>
      <c r="M632" s="9"/>
    </row>
    <row r="633" spans="1:13" ht="62.5" hidden="1">
      <c r="A633" s="18" t="s">
        <v>504</v>
      </c>
      <c r="B633" s="19" t="str">
        <f>INDEX(메뉴구조!$B$5:$B$300,MATCH($A633,메뉴구조!$A$5:$A$300,0))&amp;""</f>
        <v>더보기</v>
      </c>
      <c r="C633" s="19" t="str">
        <f>INDEX(메뉴구조!$C$5:$C$300,MATCH($A633,메뉴구조!$A$5:$A$300,0))&amp;""</f>
        <v>공지사항</v>
      </c>
      <c r="D633" s="19" t="str">
        <f>INDEX(메뉴구조!$D$5:$D$300,MATCH($A633,메뉴구조!$A$5:$A$300,0))&amp;""</f>
        <v>공지사항 상세</v>
      </c>
      <c r="E633" s="19" t="str">
        <f>INDEX(메뉴구조!$E$5:$E$300,MATCH($A633,메뉴구조!$A$5:$A$300,0))&amp;""</f>
        <v>—</v>
      </c>
      <c r="F633" s="9" t="str">
        <f>INDEX(메뉴구조!$G$5:$G$300,MATCH($A633,메뉴구조!$A$5:$A$300,0))&amp;""</f>
        <v>더보기 / 공지사항 / 공지사항 상세</v>
      </c>
      <c r="G633" s="18">
        <v>3</v>
      </c>
      <c r="H633" s="9" t="s">
        <v>2035</v>
      </c>
      <c r="I633" s="9" t="s">
        <v>2036</v>
      </c>
      <c r="J633" s="9" t="s">
        <v>2037</v>
      </c>
      <c r="K633" s="18" t="s">
        <v>17</v>
      </c>
      <c r="L633" s="9"/>
      <c r="M633" s="9"/>
    </row>
    <row r="634" spans="1:13" ht="50" hidden="1">
      <c r="A634" s="18" t="s">
        <v>504</v>
      </c>
      <c r="B634" s="19" t="str">
        <f>INDEX(메뉴구조!$B$5:$B$300,MATCH($A634,메뉴구조!$A$5:$A$300,0))&amp;""</f>
        <v>더보기</v>
      </c>
      <c r="C634" s="19" t="str">
        <f>INDEX(메뉴구조!$C$5:$C$300,MATCH($A634,메뉴구조!$A$5:$A$300,0))&amp;""</f>
        <v>공지사항</v>
      </c>
      <c r="D634" s="19" t="str">
        <f>INDEX(메뉴구조!$D$5:$D$300,MATCH($A634,메뉴구조!$A$5:$A$300,0))&amp;""</f>
        <v>공지사항 상세</v>
      </c>
      <c r="E634" s="19" t="str">
        <f>INDEX(메뉴구조!$E$5:$E$300,MATCH($A634,메뉴구조!$A$5:$A$300,0))&amp;""</f>
        <v>—</v>
      </c>
      <c r="F634" s="9" t="str">
        <f>INDEX(메뉴구조!$G$5:$G$300,MATCH($A634,메뉴구조!$A$5:$A$300,0))&amp;""</f>
        <v>더보기 / 공지사항 / 공지사항 상세</v>
      </c>
      <c r="G634" s="18">
        <v>4</v>
      </c>
      <c r="H634" s="9" t="s">
        <v>2038</v>
      </c>
      <c r="I634" s="9" t="s">
        <v>2039</v>
      </c>
      <c r="J634" s="9" t="s">
        <v>2040</v>
      </c>
      <c r="K634" s="18" t="s">
        <v>17</v>
      </c>
      <c r="L634" s="9"/>
      <c r="M634" s="9"/>
    </row>
    <row r="635" spans="1:13" ht="50" hidden="1">
      <c r="A635" s="18" t="s">
        <v>504</v>
      </c>
      <c r="B635" s="19" t="str">
        <f>INDEX(메뉴구조!$B$5:$B$300,MATCH($A635,메뉴구조!$A$5:$A$300,0))&amp;""</f>
        <v>더보기</v>
      </c>
      <c r="C635" s="19" t="str">
        <f>INDEX(메뉴구조!$C$5:$C$300,MATCH($A635,메뉴구조!$A$5:$A$300,0))&amp;""</f>
        <v>공지사항</v>
      </c>
      <c r="D635" s="19" t="str">
        <f>INDEX(메뉴구조!$D$5:$D$300,MATCH($A635,메뉴구조!$A$5:$A$300,0))&amp;""</f>
        <v>공지사항 상세</v>
      </c>
      <c r="E635" s="19" t="str">
        <f>INDEX(메뉴구조!$E$5:$E$300,MATCH($A635,메뉴구조!$A$5:$A$300,0))&amp;""</f>
        <v>—</v>
      </c>
      <c r="F635" s="9" t="str">
        <f>INDEX(메뉴구조!$G$5:$G$300,MATCH($A635,메뉴구조!$A$5:$A$300,0))&amp;""</f>
        <v>더보기 / 공지사항 / 공지사항 상세</v>
      </c>
      <c r="G635" s="18">
        <v>5</v>
      </c>
      <c r="H635" s="9" t="s">
        <v>2041</v>
      </c>
      <c r="I635" s="9" t="s">
        <v>2042</v>
      </c>
      <c r="J635" s="9" t="s">
        <v>2043</v>
      </c>
      <c r="K635" s="18" t="s">
        <v>17</v>
      </c>
      <c r="L635" s="9"/>
      <c r="M635" s="9"/>
    </row>
    <row r="636" spans="1:13" ht="62.5" hidden="1">
      <c r="A636" s="18" t="s">
        <v>504</v>
      </c>
      <c r="B636" s="19" t="str">
        <f>INDEX(메뉴구조!$B$5:$B$300,MATCH($A636,메뉴구조!$A$5:$A$300,0))&amp;""</f>
        <v>더보기</v>
      </c>
      <c r="C636" s="19" t="str">
        <f>INDEX(메뉴구조!$C$5:$C$300,MATCH($A636,메뉴구조!$A$5:$A$300,0))&amp;""</f>
        <v>공지사항</v>
      </c>
      <c r="D636" s="19" t="str">
        <f>INDEX(메뉴구조!$D$5:$D$300,MATCH($A636,메뉴구조!$A$5:$A$300,0))&amp;""</f>
        <v>공지사항 상세</v>
      </c>
      <c r="E636" s="19" t="str">
        <f>INDEX(메뉴구조!$E$5:$E$300,MATCH($A636,메뉴구조!$A$5:$A$300,0))&amp;""</f>
        <v>—</v>
      </c>
      <c r="F636" s="9" t="str">
        <f>INDEX(메뉴구조!$G$5:$G$300,MATCH($A636,메뉴구조!$A$5:$A$300,0))&amp;""</f>
        <v>더보기 / 공지사항 / 공지사항 상세</v>
      </c>
      <c r="G636" s="18">
        <v>6</v>
      </c>
      <c r="H636" s="9" t="s">
        <v>2044</v>
      </c>
      <c r="I636" s="9" t="s">
        <v>2045</v>
      </c>
      <c r="J636" s="9"/>
      <c r="K636" s="18" t="s">
        <v>17</v>
      </c>
      <c r="L636" s="9"/>
      <c r="M636" s="9"/>
    </row>
    <row r="637" spans="1:13" ht="25" hidden="1">
      <c r="A637" s="18" t="s">
        <v>507</v>
      </c>
      <c r="B637" s="19" t="str">
        <f>INDEX(메뉴구조!$B$5:$B$300,MATCH($A637,메뉴구조!$A$5:$A$300,0))&amp;""</f>
        <v>더보기</v>
      </c>
      <c r="C637" s="19" t="str">
        <f>INDEX(메뉴구조!$C$5:$C$300,MATCH($A637,메뉴구조!$A$5:$A$300,0))&amp;""</f>
        <v>이벤트</v>
      </c>
      <c r="D637" s="19" t="str">
        <f>INDEX(메뉴구조!$D$5:$D$300,MATCH($A637,메뉴구조!$A$5:$A$300,0))&amp;""</f>
        <v>목록</v>
      </c>
      <c r="E637" s="19" t="str">
        <f>INDEX(메뉴구조!$E$5:$E$300,MATCH($A637,메뉴구조!$A$5:$A$300,0))&amp;""</f>
        <v>—</v>
      </c>
      <c r="F637" s="9" t="str">
        <f>INDEX(메뉴구조!$G$5:$G$300,MATCH($A637,메뉴구조!$A$5:$A$300,0))&amp;""</f>
        <v>더보기 / 이벤트 / 목록</v>
      </c>
      <c r="G637" s="18">
        <v>1</v>
      </c>
      <c r="H637" s="9" t="s">
        <v>2046</v>
      </c>
      <c r="I637" s="9" t="s">
        <v>2047</v>
      </c>
      <c r="J637" s="9"/>
      <c r="K637" s="18" t="s">
        <v>17</v>
      </c>
      <c r="L637" s="9"/>
      <c r="M637" s="9"/>
    </row>
    <row r="638" spans="1:13" ht="50" hidden="1">
      <c r="A638" s="18" t="s">
        <v>507</v>
      </c>
      <c r="B638" s="19" t="str">
        <f>INDEX(메뉴구조!$B$5:$B$300,MATCH($A638,메뉴구조!$A$5:$A$300,0))&amp;""</f>
        <v>더보기</v>
      </c>
      <c r="C638" s="19" t="str">
        <f>INDEX(메뉴구조!$C$5:$C$300,MATCH($A638,메뉴구조!$A$5:$A$300,0))&amp;""</f>
        <v>이벤트</v>
      </c>
      <c r="D638" s="19" t="str">
        <f>INDEX(메뉴구조!$D$5:$D$300,MATCH($A638,메뉴구조!$A$5:$A$300,0))&amp;""</f>
        <v>목록</v>
      </c>
      <c r="E638" s="19" t="str">
        <f>INDEX(메뉴구조!$E$5:$E$300,MATCH($A638,메뉴구조!$A$5:$A$300,0))&amp;""</f>
        <v>—</v>
      </c>
      <c r="F638" s="9" t="str">
        <f>INDEX(메뉴구조!$G$5:$G$300,MATCH($A638,메뉴구조!$A$5:$A$300,0))&amp;""</f>
        <v>더보기 / 이벤트 / 목록</v>
      </c>
      <c r="G638" s="18">
        <v>2</v>
      </c>
      <c r="H638" s="9" t="s">
        <v>2048</v>
      </c>
      <c r="I638" s="9" t="s">
        <v>2049</v>
      </c>
      <c r="J638" s="9"/>
      <c r="K638" s="18" t="s">
        <v>17</v>
      </c>
      <c r="L638" s="9"/>
      <c r="M638" s="9"/>
    </row>
    <row r="639" spans="1:13" ht="37.5" hidden="1">
      <c r="A639" s="18" t="s">
        <v>507</v>
      </c>
      <c r="B639" s="19" t="str">
        <f>INDEX(메뉴구조!$B$5:$B$300,MATCH($A639,메뉴구조!$A$5:$A$300,0))&amp;""</f>
        <v>더보기</v>
      </c>
      <c r="C639" s="19" t="str">
        <f>INDEX(메뉴구조!$C$5:$C$300,MATCH($A639,메뉴구조!$A$5:$A$300,0))&amp;""</f>
        <v>이벤트</v>
      </c>
      <c r="D639" s="19" t="str">
        <f>INDEX(메뉴구조!$D$5:$D$300,MATCH($A639,메뉴구조!$A$5:$A$300,0))&amp;""</f>
        <v>목록</v>
      </c>
      <c r="E639" s="19" t="str">
        <f>INDEX(메뉴구조!$E$5:$E$300,MATCH($A639,메뉴구조!$A$5:$A$300,0))&amp;""</f>
        <v>—</v>
      </c>
      <c r="F639" s="9" t="str">
        <f>INDEX(메뉴구조!$G$5:$G$300,MATCH($A639,메뉴구조!$A$5:$A$300,0))&amp;""</f>
        <v>더보기 / 이벤트 / 목록</v>
      </c>
      <c r="G639" s="18">
        <v>3</v>
      </c>
      <c r="H639" s="9" t="s">
        <v>2050</v>
      </c>
      <c r="I639" s="9" t="s">
        <v>2051</v>
      </c>
      <c r="J639" s="9"/>
      <c r="K639" s="18" t="s">
        <v>17</v>
      </c>
      <c r="L639" s="9"/>
      <c r="M639" s="9"/>
    </row>
    <row r="640" spans="1:13" ht="50" hidden="1">
      <c r="A640" s="18" t="s">
        <v>507</v>
      </c>
      <c r="B640" s="19" t="str">
        <f>INDEX(메뉴구조!$B$5:$B$300,MATCH($A640,메뉴구조!$A$5:$A$300,0))&amp;""</f>
        <v>더보기</v>
      </c>
      <c r="C640" s="19" t="str">
        <f>INDEX(메뉴구조!$C$5:$C$300,MATCH($A640,메뉴구조!$A$5:$A$300,0))&amp;""</f>
        <v>이벤트</v>
      </c>
      <c r="D640" s="19" t="str">
        <f>INDEX(메뉴구조!$D$5:$D$300,MATCH($A640,메뉴구조!$A$5:$A$300,0))&amp;""</f>
        <v>목록</v>
      </c>
      <c r="E640" s="19" t="str">
        <f>INDEX(메뉴구조!$E$5:$E$300,MATCH($A640,메뉴구조!$A$5:$A$300,0))&amp;""</f>
        <v>—</v>
      </c>
      <c r="F640" s="9" t="str">
        <f>INDEX(메뉴구조!$G$5:$G$300,MATCH($A640,메뉴구조!$A$5:$A$300,0))&amp;""</f>
        <v>더보기 / 이벤트 / 목록</v>
      </c>
      <c r="G640" s="18">
        <v>4</v>
      </c>
      <c r="H640" s="9" t="s">
        <v>2025</v>
      </c>
      <c r="I640" s="9" t="s">
        <v>2052</v>
      </c>
      <c r="J640" s="9"/>
      <c r="K640" s="18" t="s">
        <v>17</v>
      </c>
      <c r="L640" s="9"/>
      <c r="M640" s="9"/>
    </row>
    <row r="641" spans="1:13" hidden="1">
      <c r="A641" s="18" t="s">
        <v>509</v>
      </c>
      <c r="B641" s="19" t="str">
        <f>INDEX(메뉴구조!$B$5:$B$300,MATCH($A641,메뉴구조!$A$5:$A$300,0))&amp;""</f>
        <v>더보기</v>
      </c>
      <c r="C641" s="19" t="str">
        <f>INDEX(메뉴구조!$C$5:$C$300,MATCH($A641,메뉴구조!$A$5:$A$300,0))&amp;""</f>
        <v>이벤트</v>
      </c>
      <c r="D641" s="19" t="str">
        <f>INDEX(메뉴구조!$D$5:$D$300,MATCH($A641,메뉴구조!$A$5:$A$300,0))&amp;""</f>
        <v>이벤트상세</v>
      </c>
      <c r="E641" s="19" t="str">
        <f>INDEX(메뉴구조!$E$5:$E$300,MATCH($A641,메뉴구조!$A$5:$A$300,0))&amp;""</f>
        <v>—</v>
      </c>
      <c r="F641" s="9" t="str">
        <f>INDEX(메뉴구조!$G$5:$G$300,MATCH($A641,메뉴구조!$A$5:$A$300,0))&amp;""</f>
        <v>더보기 / 이벤트 / 이벤트상세</v>
      </c>
      <c r="G641" s="18">
        <v>1</v>
      </c>
      <c r="H641" s="9" t="s">
        <v>2030</v>
      </c>
      <c r="I641" s="9" t="s">
        <v>2053</v>
      </c>
      <c r="J641" s="9"/>
      <c r="K641" s="18" t="s">
        <v>17</v>
      </c>
      <c r="L641" s="9"/>
      <c r="M641" s="9"/>
    </row>
    <row r="642" spans="1:13" ht="62.5" hidden="1">
      <c r="A642" s="18" t="s">
        <v>509</v>
      </c>
      <c r="B642" s="19" t="str">
        <f>INDEX(메뉴구조!$B$5:$B$300,MATCH($A642,메뉴구조!$A$5:$A$300,0))&amp;""</f>
        <v>더보기</v>
      </c>
      <c r="C642" s="19" t="str">
        <f>INDEX(메뉴구조!$C$5:$C$300,MATCH($A642,메뉴구조!$A$5:$A$300,0))&amp;""</f>
        <v>이벤트</v>
      </c>
      <c r="D642" s="19" t="str">
        <f>INDEX(메뉴구조!$D$5:$D$300,MATCH($A642,메뉴구조!$A$5:$A$300,0))&amp;""</f>
        <v>이벤트상세</v>
      </c>
      <c r="E642" s="19" t="str">
        <f>INDEX(메뉴구조!$E$5:$E$300,MATCH($A642,메뉴구조!$A$5:$A$300,0))&amp;""</f>
        <v>—</v>
      </c>
      <c r="F642" s="9" t="str">
        <f>INDEX(메뉴구조!$G$5:$G$300,MATCH($A642,메뉴구조!$A$5:$A$300,0))&amp;""</f>
        <v>더보기 / 이벤트 / 이벤트상세</v>
      </c>
      <c r="G642" s="18">
        <v>2</v>
      </c>
      <c r="H642" s="9" t="s">
        <v>2054</v>
      </c>
      <c r="I642" s="9" t="s">
        <v>2055</v>
      </c>
      <c r="J642" s="9"/>
      <c r="K642" s="18" t="s">
        <v>17</v>
      </c>
      <c r="L642" s="9"/>
      <c r="M642" s="9"/>
    </row>
    <row r="643" spans="1:13" ht="50" hidden="1">
      <c r="A643" s="18" t="s">
        <v>509</v>
      </c>
      <c r="B643" s="19" t="str">
        <f>INDEX(메뉴구조!$B$5:$B$300,MATCH($A643,메뉴구조!$A$5:$A$300,0))&amp;""</f>
        <v>더보기</v>
      </c>
      <c r="C643" s="19" t="str">
        <f>INDEX(메뉴구조!$C$5:$C$300,MATCH($A643,메뉴구조!$A$5:$A$300,0))&amp;""</f>
        <v>이벤트</v>
      </c>
      <c r="D643" s="19" t="str">
        <f>INDEX(메뉴구조!$D$5:$D$300,MATCH($A643,메뉴구조!$A$5:$A$300,0))&amp;""</f>
        <v>이벤트상세</v>
      </c>
      <c r="E643" s="19" t="str">
        <f>INDEX(메뉴구조!$E$5:$E$300,MATCH($A643,메뉴구조!$A$5:$A$300,0))&amp;""</f>
        <v>—</v>
      </c>
      <c r="F643" s="9" t="str">
        <f>INDEX(메뉴구조!$G$5:$G$300,MATCH($A643,메뉴구조!$A$5:$A$300,0))&amp;""</f>
        <v>더보기 / 이벤트 / 이벤트상세</v>
      </c>
      <c r="G643" s="18">
        <v>3</v>
      </c>
      <c r="H643" s="9" t="s">
        <v>2056</v>
      </c>
      <c r="I643" s="9" t="s">
        <v>2057</v>
      </c>
      <c r="J643" s="9"/>
      <c r="K643" s="18" t="s">
        <v>17</v>
      </c>
      <c r="L643" s="9"/>
      <c r="M643" s="9"/>
    </row>
    <row r="644" spans="1:13" ht="25" hidden="1">
      <c r="A644" s="18" t="s">
        <v>509</v>
      </c>
      <c r="B644" s="19" t="str">
        <f>INDEX(메뉴구조!$B$5:$B$300,MATCH($A644,메뉴구조!$A$5:$A$300,0))&amp;""</f>
        <v>더보기</v>
      </c>
      <c r="C644" s="19" t="str">
        <f>INDEX(메뉴구조!$C$5:$C$300,MATCH($A644,메뉴구조!$A$5:$A$300,0))&amp;""</f>
        <v>이벤트</v>
      </c>
      <c r="D644" s="19" t="str">
        <f>INDEX(메뉴구조!$D$5:$D$300,MATCH($A644,메뉴구조!$A$5:$A$300,0))&amp;""</f>
        <v>이벤트상세</v>
      </c>
      <c r="E644" s="19" t="str">
        <f>INDEX(메뉴구조!$E$5:$E$300,MATCH($A644,메뉴구조!$A$5:$A$300,0))&amp;""</f>
        <v>—</v>
      </c>
      <c r="F644" s="9" t="str">
        <f>INDEX(메뉴구조!$G$5:$G$300,MATCH($A644,메뉴구조!$A$5:$A$300,0))&amp;""</f>
        <v>더보기 / 이벤트 / 이벤트상세</v>
      </c>
      <c r="G644" s="18">
        <v>4</v>
      </c>
      <c r="H644" s="9" t="s">
        <v>2058</v>
      </c>
      <c r="I644" s="9" t="s">
        <v>2059</v>
      </c>
      <c r="J644" s="9"/>
      <c r="K644" s="18" t="s">
        <v>17</v>
      </c>
      <c r="L644" s="9"/>
      <c r="M644" s="9"/>
    </row>
    <row r="645" spans="1:13" ht="62.5" hidden="1">
      <c r="A645" s="18" t="s">
        <v>509</v>
      </c>
      <c r="B645" s="19" t="str">
        <f>INDEX(메뉴구조!$B$5:$B$300,MATCH($A645,메뉴구조!$A$5:$A$300,0))&amp;""</f>
        <v>더보기</v>
      </c>
      <c r="C645" s="19" t="str">
        <f>INDEX(메뉴구조!$C$5:$C$300,MATCH($A645,메뉴구조!$A$5:$A$300,0))&amp;""</f>
        <v>이벤트</v>
      </c>
      <c r="D645" s="19" t="str">
        <f>INDEX(메뉴구조!$D$5:$D$300,MATCH($A645,메뉴구조!$A$5:$A$300,0))&amp;""</f>
        <v>이벤트상세</v>
      </c>
      <c r="E645" s="19" t="str">
        <f>INDEX(메뉴구조!$E$5:$E$300,MATCH($A645,메뉴구조!$A$5:$A$300,0))&amp;""</f>
        <v>—</v>
      </c>
      <c r="F645" s="9" t="str">
        <f>INDEX(메뉴구조!$G$5:$G$300,MATCH($A645,메뉴구조!$A$5:$A$300,0))&amp;""</f>
        <v>더보기 / 이벤트 / 이벤트상세</v>
      </c>
      <c r="G645" s="18">
        <v>5</v>
      </c>
      <c r="H645" s="9" t="s">
        <v>2060</v>
      </c>
      <c r="I645" s="9" t="s">
        <v>2061</v>
      </c>
      <c r="J645" s="9"/>
      <c r="K645" s="18" t="s">
        <v>17</v>
      </c>
      <c r="L645" s="9"/>
      <c r="M645" s="9"/>
    </row>
    <row r="646" spans="1:13" hidden="1">
      <c r="A646" s="18" t="s">
        <v>511</v>
      </c>
      <c r="B646" s="19" t="str">
        <f>INDEX(메뉴구조!$B$5:$B$300,MATCH($A646,메뉴구조!$A$5:$A$300,0))&amp;""</f>
        <v>더보기</v>
      </c>
      <c r="C646" s="19" t="str">
        <f>INDEX(메뉴구조!$C$5:$C$300,MATCH($A646,메뉴구조!$A$5:$A$300,0))&amp;""</f>
        <v>이용안내</v>
      </c>
      <c r="D646" s="19" t="str">
        <f>INDEX(메뉴구조!$D$5:$D$300,MATCH($A646,메뉴구조!$A$5:$A$300,0))&amp;""</f>
        <v>—</v>
      </c>
      <c r="E646" s="19" t="str">
        <f>INDEX(메뉴구조!$E$5:$E$300,MATCH($A646,메뉴구조!$A$5:$A$300,0))&amp;""</f>
        <v>—</v>
      </c>
      <c r="F646" s="9" t="str">
        <f>INDEX(메뉴구조!$G$5:$G$300,MATCH($A646,메뉴구조!$A$5:$A$300,0))&amp;""</f>
        <v>더보기 / 이용안내</v>
      </c>
      <c r="G646" s="18">
        <v>1</v>
      </c>
      <c r="H646" s="9" t="s">
        <v>675</v>
      </c>
      <c r="I646" s="9" t="s">
        <v>2017</v>
      </c>
      <c r="J646" s="9"/>
      <c r="K646" s="18" t="s">
        <v>17</v>
      </c>
      <c r="L646" s="9"/>
      <c r="M646" s="9"/>
    </row>
    <row r="647" spans="1:13" ht="37.5" hidden="1">
      <c r="A647" s="18" t="s">
        <v>511</v>
      </c>
      <c r="B647" s="19" t="str">
        <f>INDEX(메뉴구조!$B$5:$B$300,MATCH($A647,메뉴구조!$A$5:$A$300,0))&amp;""</f>
        <v>더보기</v>
      </c>
      <c r="C647" s="19" t="str">
        <f>INDEX(메뉴구조!$C$5:$C$300,MATCH($A647,메뉴구조!$A$5:$A$300,0))&amp;""</f>
        <v>이용안내</v>
      </c>
      <c r="D647" s="19" t="str">
        <f>INDEX(메뉴구조!$D$5:$D$300,MATCH($A647,메뉴구조!$A$5:$A$300,0))&amp;""</f>
        <v>—</v>
      </c>
      <c r="E647" s="19" t="str">
        <f>INDEX(메뉴구조!$E$5:$E$300,MATCH($A647,메뉴구조!$A$5:$A$300,0))&amp;""</f>
        <v>—</v>
      </c>
      <c r="F647" s="9" t="str">
        <f>INDEX(메뉴구조!$G$5:$G$300,MATCH($A647,메뉴구조!$A$5:$A$300,0))&amp;""</f>
        <v>더보기 / 이용안내</v>
      </c>
      <c r="G647" s="18">
        <v>2</v>
      </c>
      <c r="H647" s="9" t="s">
        <v>2062</v>
      </c>
      <c r="I647" s="9" t="s">
        <v>2063</v>
      </c>
      <c r="J647" s="9"/>
      <c r="K647" s="18" t="s">
        <v>17</v>
      </c>
      <c r="L647" s="9"/>
      <c r="M647" s="9"/>
    </row>
    <row r="648" spans="1:13" ht="25" hidden="1">
      <c r="A648" s="18" t="s">
        <v>511</v>
      </c>
      <c r="B648" s="19" t="str">
        <f>INDEX(메뉴구조!$B$5:$B$300,MATCH($A648,메뉴구조!$A$5:$A$300,0))&amp;""</f>
        <v>더보기</v>
      </c>
      <c r="C648" s="19" t="str">
        <f>INDEX(메뉴구조!$C$5:$C$300,MATCH($A648,메뉴구조!$A$5:$A$300,0))&amp;""</f>
        <v>이용안내</v>
      </c>
      <c r="D648" s="19" t="str">
        <f>INDEX(메뉴구조!$D$5:$D$300,MATCH($A648,메뉴구조!$A$5:$A$300,0))&amp;""</f>
        <v>—</v>
      </c>
      <c r="E648" s="19" t="str">
        <f>INDEX(메뉴구조!$E$5:$E$300,MATCH($A648,메뉴구조!$A$5:$A$300,0))&amp;""</f>
        <v>—</v>
      </c>
      <c r="F648" s="9" t="str">
        <f>INDEX(메뉴구조!$G$5:$G$300,MATCH($A648,메뉴구조!$A$5:$A$300,0))&amp;""</f>
        <v>더보기 / 이용안내</v>
      </c>
      <c r="G648" s="18">
        <v>3</v>
      </c>
      <c r="H648" s="9" t="s">
        <v>2064</v>
      </c>
      <c r="I648" s="9" t="s">
        <v>2065</v>
      </c>
      <c r="J648" s="9"/>
      <c r="K648" s="18" t="s">
        <v>17</v>
      </c>
      <c r="L648" s="9"/>
      <c r="M648" s="9"/>
    </row>
    <row r="649" spans="1:13" ht="25" hidden="1">
      <c r="A649" s="18" t="s">
        <v>511</v>
      </c>
      <c r="B649" s="19" t="str">
        <f>INDEX(메뉴구조!$B$5:$B$300,MATCH($A649,메뉴구조!$A$5:$A$300,0))&amp;""</f>
        <v>더보기</v>
      </c>
      <c r="C649" s="19" t="str">
        <f>INDEX(메뉴구조!$C$5:$C$300,MATCH($A649,메뉴구조!$A$5:$A$300,0))&amp;""</f>
        <v>이용안내</v>
      </c>
      <c r="D649" s="19" t="str">
        <f>INDEX(메뉴구조!$D$5:$D$300,MATCH($A649,메뉴구조!$A$5:$A$300,0))&amp;""</f>
        <v>—</v>
      </c>
      <c r="E649" s="19" t="str">
        <f>INDEX(메뉴구조!$E$5:$E$300,MATCH($A649,메뉴구조!$A$5:$A$300,0))&amp;""</f>
        <v>—</v>
      </c>
      <c r="F649" s="9" t="str">
        <f>INDEX(메뉴구조!$G$5:$G$300,MATCH($A649,메뉴구조!$A$5:$A$300,0))&amp;""</f>
        <v>더보기 / 이용안내</v>
      </c>
      <c r="G649" s="18">
        <v>4</v>
      </c>
      <c r="H649" s="9" t="s">
        <v>2066</v>
      </c>
      <c r="I649" s="9" t="s">
        <v>2067</v>
      </c>
      <c r="J649" s="9"/>
      <c r="K649" s="18" t="s">
        <v>17</v>
      </c>
      <c r="L649" s="9"/>
      <c r="M649" s="9"/>
    </row>
    <row r="650" spans="1:13" hidden="1">
      <c r="A650" s="18" t="s">
        <v>515</v>
      </c>
      <c r="B650" s="19" t="str">
        <f>INDEX(메뉴구조!$B$5:$B$300,MATCH($A650,메뉴구조!$A$5:$A$300,0))&amp;""</f>
        <v>더보기</v>
      </c>
      <c r="C650" s="19" t="str">
        <f>INDEX(메뉴구조!$C$5:$C$300,MATCH($A650,메뉴구조!$A$5:$A$300,0))&amp;""</f>
        <v>고객센터</v>
      </c>
      <c r="D650" s="19" t="str">
        <f>INDEX(메뉴구조!$D$5:$D$300,MATCH($A650,메뉴구조!$A$5:$A$300,0))&amp;""</f>
        <v>목록</v>
      </c>
      <c r="E650" s="19" t="str">
        <f>INDEX(메뉴구조!$E$5:$E$300,MATCH($A650,메뉴구조!$A$5:$A$300,0))&amp;""</f>
        <v>—</v>
      </c>
      <c r="F650" s="9" t="str">
        <f>INDEX(메뉴구조!$G$5:$G$300,MATCH($A650,메뉴구조!$A$5:$A$300,0))&amp;""</f>
        <v>더보기 / 고객센터 / 목록</v>
      </c>
      <c r="G650" s="18">
        <v>1</v>
      </c>
      <c r="H650" s="9" t="s">
        <v>675</v>
      </c>
      <c r="I650" s="9" t="s">
        <v>2017</v>
      </c>
      <c r="J650" s="9"/>
      <c r="K650" s="18" t="s">
        <v>17</v>
      </c>
      <c r="L650" s="9"/>
      <c r="M650" s="9"/>
    </row>
    <row r="651" spans="1:13" ht="25" hidden="1">
      <c r="A651" s="18" t="s">
        <v>515</v>
      </c>
      <c r="B651" s="19" t="str">
        <f>INDEX(메뉴구조!$B$5:$B$300,MATCH($A651,메뉴구조!$A$5:$A$300,0))&amp;""</f>
        <v>더보기</v>
      </c>
      <c r="C651" s="19" t="str">
        <f>INDEX(메뉴구조!$C$5:$C$300,MATCH($A651,메뉴구조!$A$5:$A$300,0))&amp;""</f>
        <v>고객센터</v>
      </c>
      <c r="D651" s="19" t="str">
        <f>INDEX(메뉴구조!$D$5:$D$300,MATCH($A651,메뉴구조!$A$5:$A$300,0))&amp;""</f>
        <v>목록</v>
      </c>
      <c r="E651" s="19" t="str">
        <f>INDEX(메뉴구조!$E$5:$E$300,MATCH($A651,메뉴구조!$A$5:$A$300,0))&amp;""</f>
        <v>—</v>
      </c>
      <c r="F651" s="9" t="str">
        <f>INDEX(메뉴구조!$G$5:$G$300,MATCH($A651,메뉴구조!$A$5:$A$300,0))&amp;""</f>
        <v>더보기 / 고객센터 / 목록</v>
      </c>
      <c r="G651" s="18">
        <v>2</v>
      </c>
      <c r="H651" s="9" t="s">
        <v>2068</v>
      </c>
      <c r="I651" s="9" t="s">
        <v>2069</v>
      </c>
      <c r="J651" s="9"/>
      <c r="K651" s="18" t="s">
        <v>17</v>
      </c>
      <c r="L651" s="9"/>
      <c r="M651" s="9"/>
    </row>
    <row r="652" spans="1:13" ht="37.5" hidden="1">
      <c r="A652" s="18" t="s">
        <v>515</v>
      </c>
      <c r="B652" s="19" t="str">
        <f>INDEX(메뉴구조!$B$5:$B$300,MATCH($A652,메뉴구조!$A$5:$A$300,0))&amp;""</f>
        <v>더보기</v>
      </c>
      <c r="C652" s="19" t="str">
        <f>INDEX(메뉴구조!$C$5:$C$300,MATCH($A652,메뉴구조!$A$5:$A$300,0))&amp;""</f>
        <v>고객센터</v>
      </c>
      <c r="D652" s="19" t="str">
        <f>INDEX(메뉴구조!$D$5:$D$300,MATCH($A652,메뉴구조!$A$5:$A$300,0))&amp;""</f>
        <v>목록</v>
      </c>
      <c r="E652" s="19" t="str">
        <f>INDEX(메뉴구조!$E$5:$E$300,MATCH($A652,메뉴구조!$A$5:$A$300,0))&amp;""</f>
        <v>—</v>
      </c>
      <c r="F652" s="9" t="str">
        <f>INDEX(메뉴구조!$G$5:$G$300,MATCH($A652,메뉴구조!$A$5:$A$300,0))&amp;""</f>
        <v>더보기 / 고객센터 / 목록</v>
      </c>
      <c r="G652" s="18">
        <v>3</v>
      </c>
      <c r="H652" s="9" t="s">
        <v>2070</v>
      </c>
      <c r="I652" s="9" t="s">
        <v>2071</v>
      </c>
      <c r="J652" s="9"/>
      <c r="K652" s="18" t="s">
        <v>17</v>
      </c>
      <c r="L652" s="9"/>
      <c r="M652" s="9"/>
    </row>
    <row r="653" spans="1:13" hidden="1">
      <c r="A653" s="18" t="s">
        <v>517</v>
      </c>
      <c r="B653" s="19" t="str">
        <f>INDEX(메뉴구조!$B$5:$B$300,MATCH($A653,메뉴구조!$A$5:$A$300,0))&amp;""</f>
        <v>더보기</v>
      </c>
      <c r="C653" s="19" t="str">
        <f>INDEX(메뉴구조!$C$5:$C$300,MATCH($A653,메뉴구조!$A$5:$A$300,0))&amp;""</f>
        <v>고객센터</v>
      </c>
      <c r="D653" s="19" t="str">
        <f>INDEX(메뉴구조!$D$5:$D$300,MATCH($A653,메뉴구조!$A$5:$A$300,0))&amp;""</f>
        <v>FAQ</v>
      </c>
      <c r="E653" s="19" t="str">
        <f>INDEX(메뉴구조!$E$5:$E$300,MATCH($A653,메뉴구조!$A$5:$A$300,0))&amp;""</f>
        <v>—</v>
      </c>
      <c r="F653" s="9" t="str">
        <f>INDEX(메뉴구조!$G$5:$G$300,MATCH($A653,메뉴구조!$A$5:$A$300,0))&amp;""</f>
        <v>더보기 / 고객센터 / FAQ</v>
      </c>
      <c r="G653" s="18">
        <v>1</v>
      </c>
      <c r="H653" s="9" t="s">
        <v>675</v>
      </c>
      <c r="I653" s="9" t="s">
        <v>2072</v>
      </c>
      <c r="J653" s="9"/>
      <c r="K653" s="18" t="s">
        <v>17</v>
      </c>
      <c r="L653" s="9"/>
      <c r="M653" s="9"/>
    </row>
    <row r="654" spans="1:13" ht="25" hidden="1">
      <c r="A654" s="18" t="s">
        <v>517</v>
      </c>
      <c r="B654" s="19" t="str">
        <f>INDEX(메뉴구조!$B$5:$B$300,MATCH($A654,메뉴구조!$A$5:$A$300,0))&amp;""</f>
        <v>더보기</v>
      </c>
      <c r="C654" s="19" t="str">
        <f>INDEX(메뉴구조!$C$5:$C$300,MATCH($A654,메뉴구조!$A$5:$A$300,0))&amp;""</f>
        <v>고객센터</v>
      </c>
      <c r="D654" s="19" t="str">
        <f>INDEX(메뉴구조!$D$5:$D$300,MATCH($A654,메뉴구조!$A$5:$A$300,0))&amp;""</f>
        <v>FAQ</v>
      </c>
      <c r="E654" s="19" t="str">
        <f>INDEX(메뉴구조!$E$5:$E$300,MATCH($A654,메뉴구조!$A$5:$A$300,0))&amp;""</f>
        <v>—</v>
      </c>
      <c r="F654" s="9" t="str">
        <f>INDEX(메뉴구조!$G$5:$G$300,MATCH($A654,메뉴구조!$A$5:$A$300,0))&amp;""</f>
        <v>더보기 / 고객센터 / FAQ</v>
      </c>
      <c r="G654" s="18">
        <v>2</v>
      </c>
      <c r="H654" s="9" t="s">
        <v>2073</v>
      </c>
      <c r="I654" s="9" t="s">
        <v>2074</v>
      </c>
      <c r="J654" s="9"/>
      <c r="K654" s="18" t="s">
        <v>17</v>
      </c>
      <c r="L654" s="9"/>
      <c r="M654" s="9"/>
    </row>
    <row r="655" spans="1:13" ht="50" hidden="1">
      <c r="A655" s="18" t="s">
        <v>517</v>
      </c>
      <c r="B655" s="19" t="str">
        <f>INDEX(메뉴구조!$B$5:$B$300,MATCH($A655,메뉴구조!$A$5:$A$300,0))&amp;""</f>
        <v>더보기</v>
      </c>
      <c r="C655" s="19" t="str">
        <f>INDEX(메뉴구조!$C$5:$C$300,MATCH($A655,메뉴구조!$A$5:$A$300,0))&amp;""</f>
        <v>고객센터</v>
      </c>
      <c r="D655" s="19" t="str">
        <f>INDEX(메뉴구조!$D$5:$D$300,MATCH($A655,메뉴구조!$A$5:$A$300,0))&amp;""</f>
        <v>FAQ</v>
      </c>
      <c r="E655" s="19" t="str">
        <f>INDEX(메뉴구조!$E$5:$E$300,MATCH($A655,메뉴구조!$A$5:$A$300,0))&amp;""</f>
        <v>—</v>
      </c>
      <c r="F655" s="9" t="str">
        <f>INDEX(메뉴구조!$G$5:$G$300,MATCH($A655,메뉴구조!$A$5:$A$300,0))&amp;""</f>
        <v>더보기 / 고객센터 / FAQ</v>
      </c>
      <c r="G655" s="18">
        <v>3</v>
      </c>
      <c r="H655" s="9" t="s">
        <v>2075</v>
      </c>
      <c r="I655" s="9" t="s">
        <v>2076</v>
      </c>
      <c r="J655" s="9"/>
      <c r="K655" s="18" t="s">
        <v>17</v>
      </c>
      <c r="L655" s="9"/>
      <c r="M655" s="9"/>
    </row>
    <row r="656" spans="1:13" ht="37.5" hidden="1">
      <c r="A656" s="18" t="s">
        <v>517</v>
      </c>
      <c r="B656" s="19" t="str">
        <f>INDEX(메뉴구조!$B$5:$B$300,MATCH($A656,메뉴구조!$A$5:$A$300,0))&amp;""</f>
        <v>더보기</v>
      </c>
      <c r="C656" s="19" t="str">
        <f>INDEX(메뉴구조!$C$5:$C$300,MATCH($A656,메뉴구조!$A$5:$A$300,0))&amp;""</f>
        <v>고객센터</v>
      </c>
      <c r="D656" s="19" t="str">
        <f>INDEX(메뉴구조!$D$5:$D$300,MATCH($A656,메뉴구조!$A$5:$A$300,0))&amp;""</f>
        <v>FAQ</v>
      </c>
      <c r="E656" s="19" t="str">
        <f>INDEX(메뉴구조!$E$5:$E$300,MATCH($A656,메뉴구조!$A$5:$A$300,0))&amp;""</f>
        <v>—</v>
      </c>
      <c r="F656" s="9" t="str">
        <f>INDEX(메뉴구조!$G$5:$G$300,MATCH($A656,메뉴구조!$A$5:$A$300,0))&amp;""</f>
        <v>더보기 / 고객센터 / FAQ</v>
      </c>
      <c r="G656" s="18">
        <v>4</v>
      </c>
      <c r="H656" s="9" t="s">
        <v>2077</v>
      </c>
      <c r="I656" s="9" t="s">
        <v>2078</v>
      </c>
      <c r="J656" s="9" t="s">
        <v>2079</v>
      </c>
      <c r="K656" s="18" t="s">
        <v>17</v>
      </c>
      <c r="L656" s="9"/>
      <c r="M656" s="9"/>
    </row>
    <row r="657" spans="1:13" ht="50" hidden="1">
      <c r="A657" s="18" t="s">
        <v>517</v>
      </c>
      <c r="B657" s="19" t="str">
        <f>INDEX(메뉴구조!$B$5:$B$300,MATCH($A657,메뉴구조!$A$5:$A$300,0))&amp;""</f>
        <v>더보기</v>
      </c>
      <c r="C657" s="19" t="str">
        <f>INDEX(메뉴구조!$C$5:$C$300,MATCH($A657,메뉴구조!$A$5:$A$300,0))&amp;""</f>
        <v>고객센터</v>
      </c>
      <c r="D657" s="19" t="str">
        <f>INDEX(메뉴구조!$D$5:$D$300,MATCH($A657,메뉴구조!$A$5:$A$300,0))&amp;""</f>
        <v>FAQ</v>
      </c>
      <c r="E657" s="19" t="str">
        <f>INDEX(메뉴구조!$E$5:$E$300,MATCH($A657,메뉴구조!$A$5:$A$300,0))&amp;""</f>
        <v>—</v>
      </c>
      <c r="F657" s="9" t="str">
        <f>INDEX(메뉴구조!$G$5:$G$300,MATCH($A657,메뉴구조!$A$5:$A$300,0))&amp;""</f>
        <v>더보기 / 고객센터 / FAQ</v>
      </c>
      <c r="G657" s="18">
        <v>5</v>
      </c>
      <c r="H657" s="9" t="s">
        <v>2080</v>
      </c>
      <c r="I657" s="9" t="s">
        <v>2081</v>
      </c>
      <c r="J657" s="9"/>
      <c r="K657" s="18" t="s">
        <v>17</v>
      </c>
      <c r="L657" s="9"/>
      <c r="M657" s="9"/>
    </row>
    <row r="658" spans="1:13" ht="62.5" hidden="1">
      <c r="A658" s="18" t="s">
        <v>519</v>
      </c>
      <c r="B658" s="19" t="str">
        <f>INDEX(메뉴구조!$B$5:$B$300,MATCH($A658,메뉴구조!$A$5:$A$300,0))&amp;""</f>
        <v>더보기</v>
      </c>
      <c r="C658" s="19" t="str">
        <f>INDEX(메뉴구조!$C$5:$C$300,MATCH($A658,메뉴구조!$A$5:$A$300,0))&amp;""</f>
        <v>고객센터</v>
      </c>
      <c r="D658" s="19" t="str">
        <f>INDEX(메뉴구조!$D$5:$D$300,MATCH($A658,메뉴구조!$A$5:$A$300,0))&amp;""</f>
        <v>1:1 문의</v>
      </c>
      <c r="E658" s="19" t="str">
        <f>INDEX(메뉴구조!$E$5:$E$300,MATCH($A658,메뉴구조!$A$5:$A$300,0))&amp;""</f>
        <v>내 문의내역</v>
      </c>
      <c r="F658" s="9" t="str">
        <f>INDEX(메뉴구조!$G$5:$G$300,MATCH($A658,메뉴구조!$A$5:$A$300,0))&amp;""</f>
        <v>더보기 / 고객센터 / 1:1 문의 / 내 문의내역</v>
      </c>
      <c r="G658" s="18">
        <v>1</v>
      </c>
      <c r="H658" s="9" t="s">
        <v>2082</v>
      </c>
      <c r="I658" s="9" t="s">
        <v>2083</v>
      </c>
      <c r="J658" s="9"/>
      <c r="K658" s="18" t="s">
        <v>17</v>
      </c>
      <c r="L658" s="9"/>
      <c r="M658" s="9"/>
    </row>
    <row r="659" spans="1:13" ht="37.5" hidden="1">
      <c r="A659" s="18" t="s">
        <v>519</v>
      </c>
      <c r="B659" s="19" t="str">
        <f>INDEX(메뉴구조!$B$5:$B$300,MATCH($A659,메뉴구조!$A$5:$A$300,0))&amp;""</f>
        <v>더보기</v>
      </c>
      <c r="C659" s="19" t="str">
        <f>INDEX(메뉴구조!$C$5:$C$300,MATCH($A659,메뉴구조!$A$5:$A$300,0))&amp;""</f>
        <v>고객센터</v>
      </c>
      <c r="D659" s="19" t="str">
        <f>INDEX(메뉴구조!$D$5:$D$300,MATCH($A659,메뉴구조!$A$5:$A$300,0))&amp;""</f>
        <v>1:1 문의</v>
      </c>
      <c r="E659" s="19" t="str">
        <f>INDEX(메뉴구조!$E$5:$E$300,MATCH($A659,메뉴구조!$A$5:$A$300,0))&amp;""</f>
        <v>내 문의내역</v>
      </c>
      <c r="F659" s="9" t="str">
        <f>INDEX(메뉴구조!$G$5:$G$300,MATCH($A659,메뉴구조!$A$5:$A$300,0))&amp;""</f>
        <v>더보기 / 고객센터 / 1:1 문의 / 내 문의내역</v>
      </c>
      <c r="G659" s="18">
        <v>2</v>
      </c>
      <c r="H659" s="9" t="s">
        <v>2084</v>
      </c>
      <c r="I659" s="9" t="s">
        <v>2085</v>
      </c>
      <c r="J659" s="9"/>
      <c r="K659" s="18" t="s">
        <v>17</v>
      </c>
      <c r="L659" s="9"/>
      <c r="M659" s="9"/>
    </row>
    <row r="660" spans="1:13" ht="75" hidden="1">
      <c r="A660" s="18" t="s">
        <v>519</v>
      </c>
      <c r="B660" s="19" t="str">
        <f>INDEX(메뉴구조!$B$5:$B$300,MATCH($A660,메뉴구조!$A$5:$A$300,0))&amp;""</f>
        <v>더보기</v>
      </c>
      <c r="C660" s="19" t="str">
        <f>INDEX(메뉴구조!$C$5:$C$300,MATCH($A660,메뉴구조!$A$5:$A$300,0))&amp;""</f>
        <v>고객센터</v>
      </c>
      <c r="D660" s="19" t="str">
        <f>INDEX(메뉴구조!$D$5:$D$300,MATCH($A660,메뉴구조!$A$5:$A$300,0))&amp;""</f>
        <v>1:1 문의</v>
      </c>
      <c r="E660" s="19" t="str">
        <f>INDEX(메뉴구조!$E$5:$E$300,MATCH($A660,메뉴구조!$A$5:$A$300,0))&amp;""</f>
        <v>내 문의내역</v>
      </c>
      <c r="F660" s="9" t="str">
        <f>INDEX(메뉴구조!$G$5:$G$300,MATCH($A660,메뉴구조!$A$5:$A$300,0))&amp;""</f>
        <v>더보기 / 고객센터 / 1:1 문의 / 내 문의내역</v>
      </c>
      <c r="G660" s="18">
        <v>3</v>
      </c>
      <c r="H660" s="9" t="s">
        <v>2086</v>
      </c>
      <c r="I660" s="9" t="s">
        <v>2087</v>
      </c>
      <c r="J660" s="9"/>
      <c r="K660" s="18" t="s">
        <v>17</v>
      </c>
      <c r="L660" s="9"/>
      <c r="M660" s="9"/>
    </row>
    <row r="661" spans="1:13" ht="50" hidden="1">
      <c r="A661" s="18" t="s">
        <v>519</v>
      </c>
      <c r="B661" s="19" t="str">
        <f>INDEX(메뉴구조!$B$5:$B$300,MATCH($A661,메뉴구조!$A$5:$A$300,0))&amp;""</f>
        <v>더보기</v>
      </c>
      <c r="C661" s="19" t="str">
        <f>INDEX(메뉴구조!$C$5:$C$300,MATCH($A661,메뉴구조!$A$5:$A$300,0))&amp;""</f>
        <v>고객센터</v>
      </c>
      <c r="D661" s="19" t="str">
        <f>INDEX(메뉴구조!$D$5:$D$300,MATCH($A661,메뉴구조!$A$5:$A$300,0))&amp;""</f>
        <v>1:1 문의</v>
      </c>
      <c r="E661" s="19" t="str">
        <f>INDEX(메뉴구조!$E$5:$E$300,MATCH($A661,메뉴구조!$A$5:$A$300,0))&amp;""</f>
        <v>내 문의내역</v>
      </c>
      <c r="F661" s="9" t="str">
        <f>INDEX(메뉴구조!$G$5:$G$300,MATCH($A661,메뉴구조!$A$5:$A$300,0))&amp;""</f>
        <v>더보기 / 고객센터 / 1:1 문의 / 내 문의내역</v>
      </c>
      <c r="G661" s="18">
        <v>4</v>
      </c>
      <c r="H661" s="31" t="s">
        <v>2088</v>
      </c>
      <c r="I661" s="31" t="s">
        <v>2089</v>
      </c>
      <c r="J661" s="9"/>
      <c r="K661" s="20" t="s">
        <v>9</v>
      </c>
      <c r="L661" s="9" t="s">
        <v>522</v>
      </c>
      <c r="M661" s="9" t="s">
        <v>2090</v>
      </c>
    </row>
    <row r="662" spans="1:13" ht="87.5" hidden="1">
      <c r="A662" s="18" t="s">
        <v>519</v>
      </c>
      <c r="B662" s="19" t="str">
        <f>INDEX(메뉴구조!$B$5:$B$300,MATCH($A662,메뉴구조!$A$5:$A$300,0))&amp;""</f>
        <v>더보기</v>
      </c>
      <c r="C662" s="19" t="str">
        <f>INDEX(메뉴구조!$C$5:$C$300,MATCH($A662,메뉴구조!$A$5:$A$300,0))&amp;""</f>
        <v>고객센터</v>
      </c>
      <c r="D662" s="19" t="str">
        <f>INDEX(메뉴구조!$D$5:$D$300,MATCH($A662,메뉴구조!$A$5:$A$300,0))&amp;""</f>
        <v>1:1 문의</v>
      </c>
      <c r="E662" s="19" t="str">
        <f>INDEX(메뉴구조!$E$5:$E$300,MATCH($A662,메뉴구조!$A$5:$A$300,0))&amp;""</f>
        <v>내 문의내역</v>
      </c>
      <c r="F662" s="9" t="str">
        <f>INDEX(메뉴구조!$G$5:$G$300,MATCH($A662,메뉴구조!$A$5:$A$300,0))&amp;""</f>
        <v>더보기 / 고객센터 / 1:1 문의 / 내 문의내역</v>
      </c>
      <c r="G662" s="18">
        <v>5</v>
      </c>
      <c r="H662" s="9" t="s">
        <v>2091</v>
      </c>
      <c r="I662" s="9" t="s">
        <v>2092</v>
      </c>
      <c r="J662" s="9"/>
      <c r="K662" s="18" t="s">
        <v>17</v>
      </c>
      <c r="L662" s="9"/>
      <c r="M662" s="9"/>
    </row>
    <row r="663" spans="1:13" ht="37.5" hidden="1">
      <c r="A663" s="18" t="s">
        <v>524</v>
      </c>
      <c r="B663" s="19" t="str">
        <f>INDEX(메뉴구조!$B$5:$B$300,MATCH($A663,메뉴구조!$A$5:$A$300,0))&amp;""</f>
        <v>더보기</v>
      </c>
      <c r="C663" s="19" t="str">
        <f>INDEX(메뉴구조!$C$5:$C$300,MATCH($A663,메뉴구조!$A$5:$A$300,0))&amp;""</f>
        <v>고객센터</v>
      </c>
      <c r="D663" s="19" t="str">
        <f>INDEX(메뉴구조!$D$5:$D$300,MATCH($A663,메뉴구조!$A$5:$A$300,0))&amp;""</f>
        <v>1:1 문의_팝업</v>
      </c>
      <c r="E663" s="19" t="str">
        <f>INDEX(메뉴구조!$E$5:$E$300,MATCH($A663,메뉴구조!$A$5:$A$300,0))&amp;""</f>
        <v>—</v>
      </c>
      <c r="F663" s="9" t="str">
        <f>INDEX(메뉴구조!$G$5:$G$300,MATCH($A663,메뉴구조!$A$5:$A$300,0))&amp;""</f>
        <v>더보기 / 고객센터 / 1:1 문의_팝업</v>
      </c>
      <c r="G663" s="18">
        <v>1</v>
      </c>
      <c r="H663" s="9" t="s">
        <v>2093</v>
      </c>
      <c r="I663" s="9" t="s">
        <v>2094</v>
      </c>
      <c r="J663" s="9"/>
      <c r="K663" s="18" t="s">
        <v>17</v>
      </c>
      <c r="L663" s="9"/>
      <c r="M663" s="9"/>
    </row>
    <row r="664" spans="1:13" ht="37.5" hidden="1">
      <c r="A664" s="18" t="s">
        <v>524</v>
      </c>
      <c r="B664" s="19" t="str">
        <f>INDEX(메뉴구조!$B$5:$B$300,MATCH($A664,메뉴구조!$A$5:$A$300,0))&amp;""</f>
        <v>더보기</v>
      </c>
      <c r="C664" s="19" t="str">
        <f>INDEX(메뉴구조!$C$5:$C$300,MATCH($A664,메뉴구조!$A$5:$A$300,0))&amp;""</f>
        <v>고객센터</v>
      </c>
      <c r="D664" s="19" t="str">
        <f>INDEX(메뉴구조!$D$5:$D$300,MATCH($A664,메뉴구조!$A$5:$A$300,0))&amp;""</f>
        <v>1:1 문의_팝업</v>
      </c>
      <c r="E664" s="19" t="str">
        <f>INDEX(메뉴구조!$E$5:$E$300,MATCH($A664,메뉴구조!$A$5:$A$300,0))&amp;""</f>
        <v>—</v>
      </c>
      <c r="F664" s="9" t="str">
        <f>INDEX(메뉴구조!$G$5:$G$300,MATCH($A664,메뉴구조!$A$5:$A$300,0))&amp;""</f>
        <v>더보기 / 고객센터 / 1:1 문의_팝업</v>
      </c>
      <c r="G664" s="18">
        <v>2</v>
      </c>
      <c r="H664" s="9" t="s">
        <v>2095</v>
      </c>
      <c r="I664" s="9" t="s">
        <v>2096</v>
      </c>
      <c r="J664" s="9"/>
      <c r="K664" s="18" t="s">
        <v>17</v>
      </c>
      <c r="L664" s="9"/>
      <c r="M664" s="9"/>
    </row>
    <row r="665" spans="1:13" ht="37.5" hidden="1">
      <c r="A665" s="18" t="s">
        <v>524</v>
      </c>
      <c r="B665" s="19" t="str">
        <f>INDEX(메뉴구조!$B$5:$B$300,MATCH($A665,메뉴구조!$A$5:$A$300,0))&amp;""</f>
        <v>더보기</v>
      </c>
      <c r="C665" s="19" t="str">
        <f>INDEX(메뉴구조!$C$5:$C$300,MATCH($A665,메뉴구조!$A$5:$A$300,0))&amp;""</f>
        <v>고객센터</v>
      </c>
      <c r="D665" s="19" t="str">
        <f>INDEX(메뉴구조!$D$5:$D$300,MATCH($A665,메뉴구조!$A$5:$A$300,0))&amp;""</f>
        <v>1:1 문의_팝업</v>
      </c>
      <c r="E665" s="19" t="str">
        <f>INDEX(메뉴구조!$E$5:$E$300,MATCH($A665,메뉴구조!$A$5:$A$300,0))&amp;""</f>
        <v>—</v>
      </c>
      <c r="F665" s="9" t="str">
        <f>INDEX(메뉴구조!$G$5:$G$300,MATCH($A665,메뉴구조!$A$5:$A$300,0))&amp;""</f>
        <v>더보기 / 고객센터 / 1:1 문의_팝업</v>
      </c>
      <c r="G665" s="18">
        <v>3</v>
      </c>
      <c r="H665" s="9" t="s">
        <v>2097</v>
      </c>
      <c r="I665" s="9" t="s">
        <v>2098</v>
      </c>
      <c r="J665" s="9"/>
      <c r="K665" s="18" t="s">
        <v>17</v>
      </c>
      <c r="L665" s="9"/>
      <c r="M665" s="9"/>
    </row>
    <row r="666" spans="1:13" ht="50" hidden="1">
      <c r="A666" s="18" t="s">
        <v>524</v>
      </c>
      <c r="B666" s="19" t="str">
        <f>INDEX(메뉴구조!$B$5:$B$300,MATCH($A666,메뉴구조!$A$5:$A$300,0))&amp;""</f>
        <v>더보기</v>
      </c>
      <c r="C666" s="19" t="str">
        <f>INDEX(메뉴구조!$C$5:$C$300,MATCH($A666,메뉴구조!$A$5:$A$300,0))&amp;""</f>
        <v>고객센터</v>
      </c>
      <c r="D666" s="19" t="str">
        <f>INDEX(메뉴구조!$D$5:$D$300,MATCH($A666,메뉴구조!$A$5:$A$300,0))&amp;""</f>
        <v>1:1 문의_팝업</v>
      </c>
      <c r="E666" s="19" t="str">
        <f>INDEX(메뉴구조!$E$5:$E$300,MATCH($A666,메뉴구조!$A$5:$A$300,0))&amp;""</f>
        <v>—</v>
      </c>
      <c r="F666" s="9" t="str">
        <f>INDEX(메뉴구조!$G$5:$G$300,MATCH($A666,메뉴구조!$A$5:$A$300,0))&amp;""</f>
        <v>더보기 / 고객센터 / 1:1 문의_팝업</v>
      </c>
      <c r="G666" s="18">
        <v>4</v>
      </c>
      <c r="H666" s="9" t="s">
        <v>2099</v>
      </c>
      <c r="I666" s="9" t="s">
        <v>2100</v>
      </c>
      <c r="J666" s="9"/>
      <c r="K666" s="18" t="s">
        <v>17</v>
      </c>
      <c r="L666" s="9"/>
      <c r="M666" s="9"/>
    </row>
    <row r="667" spans="1:13" ht="25" hidden="1">
      <c r="A667" s="18" t="s">
        <v>524</v>
      </c>
      <c r="B667" s="19" t="str">
        <f>INDEX(메뉴구조!$B$5:$B$300,MATCH($A667,메뉴구조!$A$5:$A$300,0))&amp;""</f>
        <v>더보기</v>
      </c>
      <c r="C667" s="19" t="str">
        <f>INDEX(메뉴구조!$C$5:$C$300,MATCH($A667,메뉴구조!$A$5:$A$300,0))&amp;""</f>
        <v>고객센터</v>
      </c>
      <c r="D667" s="19" t="str">
        <f>INDEX(메뉴구조!$D$5:$D$300,MATCH($A667,메뉴구조!$A$5:$A$300,0))&amp;""</f>
        <v>1:1 문의_팝업</v>
      </c>
      <c r="E667" s="19" t="str">
        <f>INDEX(메뉴구조!$E$5:$E$300,MATCH($A667,메뉴구조!$A$5:$A$300,0))&amp;""</f>
        <v>—</v>
      </c>
      <c r="F667" s="9" t="str">
        <f>INDEX(메뉴구조!$G$5:$G$300,MATCH($A667,메뉴구조!$A$5:$A$300,0))&amp;""</f>
        <v>더보기 / 고객센터 / 1:1 문의_팝업</v>
      </c>
      <c r="G667" s="18">
        <v>5</v>
      </c>
      <c r="H667" s="31" t="s">
        <v>2101</v>
      </c>
      <c r="I667" s="31" t="s">
        <v>2102</v>
      </c>
      <c r="J667" s="9"/>
      <c r="K667" s="20" t="s">
        <v>9</v>
      </c>
      <c r="L667" s="9" t="s">
        <v>2103</v>
      </c>
      <c r="M667" s="9" t="s">
        <v>2104</v>
      </c>
    </row>
    <row r="668" spans="1:13" ht="50" hidden="1">
      <c r="A668" s="18" t="s">
        <v>528</v>
      </c>
      <c r="B668" s="19" t="str">
        <f>INDEX(메뉴구조!$B$5:$B$300,MATCH($A668,메뉴구조!$A$5:$A$300,0))&amp;""</f>
        <v>더보기</v>
      </c>
      <c r="C668" s="19" t="str">
        <f>INDEX(메뉴구조!$C$5:$C$300,MATCH($A668,메뉴구조!$A$5:$A$300,0))&amp;""</f>
        <v>투자자 유의사항</v>
      </c>
      <c r="D668" s="19" t="str">
        <f>INDEX(메뉴구조!$D$5:$D$300,MATCH($A668,메뉴구조!$A$5:$A$300,0))&amp;""</f>
        <v>—</v>
      </c>
      <c r="E668" s="19" t="str">
        <f>INDEX(메뉴구조!$E$5:$E$300,MATCH($A668,메뉴구조!$A$5:$A$300,0))&amp;""</f>
        <v>—</v>
      </c>
      <c r="F668" s="9" t="str">
        <f>INDEX(메뉴구조!$G$5:$G$300,MATCH($A668,메뉴구조!$A$5:$A$300,0))&amp;""</f>
        <v>더보기 / 투자자 유의사항</v>
      </c>
      <c r="G668" s="18">
        <v>1</v>
      </c>
      <c r="H668" s="31" t="s">
        <v>2105</v>
      </c>
      <c r="I668" s="31" t="s">
        <v>2106</v>
      </c>
      <c r="J668" s="9"/>
      <c r="K668" s="20" t="s">
        <v>9</v>
      </c>
      <c r="L668" s="9" t="s">
        <v>2107</v>
      </c>
      <c r="M668" s="9" t="s">
        <v>2108</v>
      </c>
    </row>
    <row r="669" spans="1:13" ht="37.5" hidden="1">
      <c r="A669" s="18" t="s">
        <v>528</v>
      </c>
      <c r="B669" s="19" t="str">
        <f>INDEX(메뉴구조!$B$5:$B$300,MATCH($A669,메뉴구조!$A$5:$A$300,0))&amp;""</f>
        <v>더보기</v>
      </c>
      <c r="C669" s="19" t="str">
        <f>INDEX(메뉴구조!$C$5:$C$300,MATCH($A669,메뉴구조!$A$5:$A$300,0))&amp;""</f>
        <v>투자자 유의사항</v>
      </c>
      <c r="D669" s="19" t="str">
        <f>INDEX(메뉴구조!$D$5:$D$300,MATCH($A669,메뉴구조!$A$5:$A$300,0))&amp;""</f>
        <v>—</v>
      </c>
      <c r="E669" s="19" t="str">
        <f>INDEX(메뉴구조!$E$5:$E$300,MATCH($A669,메뉴구조!$A$5:$A$300,0))&amp;""</f>
        <v>—</v>
      </c>
      <c r="F669" s="9" t="str">
        <f>INDEX(메뉴구조!$G$5:$G$300,MATCH($A669,메뉴구조!$A$5:$A$300,0))&amp;""</f>
        <v>더보기 / 투자자 유의사항</v>
      </c>
      <c r="G669" s="18">
        <v>2</v>
      </c>
      <c r="H669" s="9" t="s">
        <v>2109</v>
      </c>
      <c r="I669" s="9" t="s">
        <v>2110</v>
      </c>
      <c r="J669" s="9"/>
      <c r="K669" s="18" t="s">
        <v>17</v>
      </c>
      <c r="L669" s="9"/>
      <c r="M669" s="9"/>
    </row>
    <row r="670" spans="1:13" ht="125" hidden="1">
      <c r="A670" s="18" t="s">
        <v>528</v>
      </c>
      <c r="B670" s="19" t="str">
        <f>INDEX(메뉴구조!$B$5:$B$300,MATCH($A670,메뉴구조!$A$5:$A$300,0))&amp;""</f>
        <v>더보기</v>
      </c>
      <c r="C670" s="19" t="str">
        <f>INDEX(메뉴구조!$C$5:$C$300,MATCH($A670,메뉴구조!$A$5:$A$300,0))&amp;""</f>
        <v>투자자 유의사항</v>
      </c>
      <c r="D670" s="19" t="str">
        <f>INDEX(메뉴구조!$D$5:$D$300,MATCH($A670,메뉴구조!$A$5:$A$300,0))&amp;""</f>
        <v>—</v>
      </c>
      <c r="E670" s="19" t="str">
        <f>INDEX(메뉴구조!$E$5:$E$300,MATCH($A670,메뉴구조!$A$5:$A$300,0))&amp;""</f>
        <v>—</v>
      </c>
      <c r="F670" s="9" t="str">
        <f>INDEX(메뉴구조!$G$5:$G$300,MATCH($A670,메뉴구조!$A$5:$A$300,0))&amp;""</f>
        <v>더보기 / 투자자 유의사항</v>
      </c>
      <c r="G670" s="18">
        <v>3</v>
      </c>
      <c r="H670" s="9" t="s">
        <v>2111</v>
      </c>
      <c r="I670" s="9" t="s">
        <v>2112</v>
      </c>
      <c r="J670" s="9" t="s">
        <v>2113</v>
      </c>
      <c r="K670" s="18" t="s">
        <v>17</v>
      </c>
      <c r="L670" s="9"/>
      <c r="M670" s="9"/>
    </row>
    <row r="671" spans="1:13" ht="62.5" hidden="1">
      <c r="A671" s="18" t="s">
        <v>528</v>
      </c>
      <c r="B671" s="19" t="str">
        <f>INDEX(메뉴구조!$B$5:$B$300,MATCH($A671,메뉴구조!$A$5:$A$300,0))&amp;""</f>
        <v>더보기</v>
      </c>
      <c r="C671" s="19" t="str">
        <f>INDEX(메뉴구조!$C$5:$C$300,MATCH($A671,메뉴구조!$A$5:$A$300,0))&amp;""</f>
        <v>투자자 유의사항</v>
      </c>
      <c r="D671" s="19" t="str">
        <f>INDEX(메뉴구조!$D$5:$D$300,MATCH($A671,메뉴구조!$A$5:$A$300,0))&amp;""</f>
        <v>—</v>
      </c>
      <c r="E671" s="19" t="str">
        <f>INDEX(메뉴구조!$E$5:$E$300,MATCH($A671,메뉴구조!$A$5:$A$300,0))&amp;""</f>
        <v>—</v>
      </c>
      <c r="F671" s="9" t="str">
        <f>INDEX(메뉴구조!$G$5:$G$300,MATCH($A671,메뉴구조!$A$5:$A$300,0))&amp;""</f>
        <v>더보기 / 투자자 유의사항</v>
      </c>
      <c r="G671" s="18">
        <v>4</v>
      </c>
      <c r="H671" s="9" t="s">
        <v>2114</v>
      </c>
      <c r="I671" s="9" t="s">
        <v>2115</v>
      </c>
      <c r="J671" s="9"/>
      <c r="K671" s="18" t="s">
        <v>17</v>
      </c>
      <c r="L671" s="9"/>
      <c r="M671" s="9"/>
    </row>
    <row r="672" spans="1:13" ht="50" hidden="1">
      <c r="A672" s="18" t="s">
        <v>532</v>
      </c>
      <c r="B672" s="19" t="str">
        <f>INDEX(메뉴구조!$B$5:$B$300,MATCH($A672,메뉴구조!$A$5:$A$300,0))&amp;""</f>
        <v>더보기</v>
      </c>
      <c r="C672" s="19" t="str">
        <f>INDEX(메뉴구조!$C$5:$C$300,MATCH($A672,메뉴구조!$A$5:$A$300,0))&amp;""</f>
        <v>약관 및 정책</v>
      </c>
      <c r="D672" s="19" t="str">
        <f>INDEX(메뉴구조!$D$5:$D$300,MATCH($A672,메뉴구조!$A$5:$A$300,0))&amp;""</f>
        <v>목록</v>
      </c>
      <c r="E672" s="19" t="str">
        <f>INDEX(메뉴구조!$E$5:$E$300,MATCH($A672,메뉴구조!$A$5:$A$300,0))&amp;""</f>
        <v>—</v>
      </c>
      <c r="F672" s="9" t="str">
        <f>INDEX(메뉴구조!$G$5:$G$300,MATCH($A672,메뉴구조!$A$5:$A$300,0))&amp;""</f>
        <v>더보기 / 약관 및 정책 / 목록</v>
      </c>
      <c r="G672" s="18">
        <v>1</v>
      </c>
      <c r="H672" s="9" t="s">
        <v>537</v>
      </c>
      <c r="I672" s="9" t="s">
        <v>2116</v>
      </c>
      <c r="J672" s="9"/>
      <c r="K672" s="18" t="s">
        <v>17</v>
      </c>
      <c r="L672" s="9"/>
      <c r="M672" s="9"/>
    </row>
    <row r="673" spans="1:13" ht="37.5" hidden="1">
      <c r="A673" s="18" t="s">
        <v>532</v>
      </c>
      <c r="B673" s="19" t="str">
        <f>INDEX(메뉴구조!$B$5:$B$300,MATCH($A673,메뉴구조!$A$5:$A$300,0))&amp;""</f>
        <v>더보기</v>
      </c>
      <c r="C673" s="19" t="str">
        <f>INDEX(메뉴구조!$C$5:$C$300,MATCH($A673,메뉴구조!$A$5:$A$300,0))&amp;""</f>
        <v>약관 및 정책</v>
      </c>
      <c r="D673" s="19" t="str">
        <f>INDEX(메뉴구조!$D$5:$D$300,MATCH($A673,메뉴구조!$A$5:$A$300,0))&amp;""</f>
        <v>목록</v>
      </c>
      <c r="E673" s="19" t="str">
        <f>INDEX(메뉴구조!$E$5:$E$300,MATCH($A673,메뉴구조!$A$5:$A$300,0))&amp;""</f>
        <v>—</v>
      </c>
      <c r="F673" s="9" t="str">
        <f>INDEX(메뉴구조!$G$5:$G$300,MATCH($A673,메뉴구조!$A$5:$A$300,0))&amp;""</f>
        <v>더보기 / 약관 및 정책 / 목록</v>
      </c>
      <c r="G673" s="18">
        <v>2</v>
      </c>
      <c r="H673" s="31" t="s">
        <v>2117</v>
      </c>
      <c r="I673" s="31" t="s">
        <v>2118</v>
      </c>
      <c r="J673" s="9"/>
      <c r="K673" s="20" t="s">
        <v>9</v>
      </c>
      <c r="L673" s="9" t="s">
        <v>2119</v>
      </c>
      <c r="M673" s="9" t="s">
        <v>2120</v>
      </c>
    </row>
    <row r="674" spans="1:13" hidden="1">
      <c r="A674" s="18" t="s">
        <v>532</v>
      </c>
      <c r="B674" s="19" t="str">
        <f>INDEX(메뉴구조!$B$5:$B$300,MATCH($A674,메뉴구조!$A$5:$A$300,0))&amp;""</f>
        <v>더보기</v>
      </c>
      <c r="C674" s="19" t="str">
        <f>INDEX(메뉴구조!$C$5:$C$300,MATCH($A674,메뉴구조!$A$5:$A$300,0))&amp;""</f>
        <v>약관 및 정책</v>
      </c>
      <c r="D674" s="19" t="str">
        <f>INDEX(메뉴구조!$D$5:$D$300,MATCH($A674,메뉴구조!$A$5:$A$300,0))&amp;""</f>
        <v>목록</v>
      </c>
      <c r="E674" s="19" t="str">
        <f>INDEX(메뉴구조!$E$5:$E$300,MATCH($A674,메뉴구조!$A$5:$A$300,0))&amp;""</f>
        <v>—</v>
      </c>
      <c r="F674" s="9" t="str">
        <f>INDEX(메뉴구조!$G$5:$G$300,MATCH($A674,메뉴구조!$A$5:$A$300,0))&amp;""</f>
        <v>더보기 / 약관 및 정책 / 목록</v>
      </c>
      <c r="G674" s="18">
        <v>3</v>
      </c>
      <c r="H674" s="9" t="s">
        <v>544</v>
      </c>
      <c r="I674" s="9" t="s">
        <v>2121</v>
      </c>
      <c r="J674" s="9"/>
      <c r="K674" s="18" t="s">
        <v>17</v>
      </c>
      <c r="L674" s="9"/>
      <c r="M674" s="9"/>
    </row>
    <row r="675" spans="1:13" ht="25" hidden="1">
      <c r="A675" s="18" t="s">
        <v>532</v>
      </c>
      <c r="B675" s="19" t="str">
        <f>INDEX(메뉴구조!$B$5:$B$300,MATCH($A675,메뉴구조!$A$5:$A$300,0))&amp;""</f>
        <v>더보기</v>
      </c>
      <c r="C675" s="19" t="str">
        <f>INDEX(메뉴구조!$C$5:$C$300,MATCH($A675,메뉴구조!$A$5:$A$300,0))&amp;""</f>
        <v>약관 및 정책</v>
      </c>
      <c r="D675" s="19" t="str">
        <f>INDEX(메뉴구조!$D$5:$D$300,MATCH($A675,메뉴구조!$A$5:$A$300,0))&amp;""</f>
        <v>목록</v>
      </c>
      <c r="E675" s="19" t="str">
        <f>INDEX(메뉴구조!$E$5:$E$300,MATCH($A675,메뉴구조!$A$5:$A$300,0))&amp;""</f>
        <v>—</v>
      </c>
      <c r="F675" s="9" t="str">
        <f>INDEX(메뉴구조!$G$5:$G$300,MATCH($A675,메뉴구조!$A$5:$A$300,0))&amp;""</f>
        <v>더보기 / 약관 및 정책 / 목록</v>
      </c>
      <c r="G675" s="18">
        <v>4</v>
      </c>
      <c r="H675" s="9" t="s">
        <v>547</v>
      </c>
      <c r="I675" s="9" t="s">
        <v>2122</v>
      </c>
      <c r="J675" s="9"/>
      <c r="K675" s="18" t="s">
        <v>17</v>
      </c>
      <c r="L675" s="9"/>
      <c r="M675" s="9"/>
    </row>
    <row r="676" spans="1:13" ht="50" hidden="1">
      <c r="A676" s="18" t="s">
        <v>532</v>
      </c>
      <c r="B676" s="19" t="str">
        <f>INDEX(메뉴구조!$B$5:$B$300,MATCH($A676,메뉴구조!$A$5:$A$300,0))&amp;""</f>
        <v>더보기</v>
      </c>
      <c r="C676" s="19" t="str">
        <f>INDEX(메뉴구조!$C$5:$C$300,MATCH($A676,메뉴구조!$A$5:$A$300,0))&amp;""</f>
        <v>약관 및 정책</v>
      </c>
      <c r="D676" s="19" t="str">
        <f>INDEX(메뉴구조!$D$5:$D$300,MATCH($A676,메뉴구조!$A$5:$A$300,0))&amp;""</f>
        <v>목록</v>
      </c>
      <c r="E676" s="19" t="str">
        <f>INDEX(메뉴구조!$E$5:$E$300,MATCH($A676,메뉴구조!$A$5:$A$300,0))&amp;""</f>
        <v>—</v>
      </c>
      <c r="F676" s="9" t="str">
        <f>INDEX(메뉴구조!$G$5:$G$300,MATCH($A676,메뉴구조!$A$5:$A$300,0))&amp;""</f>
        <v>더보기 / 약관 및 정책 / 목록</v>
      </c>
      <c r="G676" s="18">
        <v>5</v>
      </c>
      <c r="H676" s="9" t="s">
        <v>2123</v>
      </c>
      <c r="I676" s="9" t="s">
        <v>2124</v>
      </c>
      <c r="J676" s="9"/>
      <c r="K676" s="18" t="s">
        <v>17</v>
      </c>
      <c r="L676" s="9"/>
      <c r="M676" s="9"/>
    </row>
    <row r="677" spans="1:13" ht="37.5" hidden="1">
      <c r="A677" s="18" t="s">
        <v>532</v>
      </c>
      <c r="B677" s="19" t="str">
        <f>INDEX(메뉴구조!$B$5:$B$300,MATCH($A677,메뉴구조!$A$5:$A$300,0))&amp;""</f>
        <v>더보기</v>
      </c>
      <c r="C677" s="19" t="str">
        <f>INDEX(메뉴구조!$C$5:$C$300,MATCH($A677,메뉴구조!$A$5:$A$300,0))&amp;""</f>
        <v>약관 및 정책</v>
      </c>
      <c r="D677" s="19" t="str">
        <f>INDEX(메뉴구조!$D$5:$D$300,MATCH($A677,메뉴구조!$A$5:$A$300,0))&amp;""</f>
        <v>목록</v>
      </c>
      <c r="E677" s="19" t="str">
        <f>INDEX(메뉴구조!$E$5:$E$300,MATCH($A677,메뉴구조!$A$5:$A$300,0))&amp;""</f>
        <v>—</v>
      </c>
      <c r="F677" s="9" t="str">
        <f>INDEX(메뉴구조!$G$5:$G$300,MATCH($A677,메뉴구조!$A$5:$A$300,0))&amp;""</f>
        <v>더보기 / 약관 및 정책 / 목록</v>
      </c>
      <c r="G677" s="18">
        <v>6</v>
      </c>
      <c r="H677" s="32" t="s">
        <v>2125</v>
      </c>
      <c r="I677" s="32" t="s">
        <v>2126</v>
      </c>
      <c r="J677" s="32" t="s">
        <v>2127</v>
      </c>
      <c r="K677" s="23" t="s">
        <v>7</v>
      </c>
      <c r="L677" s="9" t="s">
        <v>2128</v>
      </c>
      <c r="M677" s="9"/>
    </row>
    <row r="678" spans="1:13" ht="37.5" hidden="1">
      <c r="A678" s="18" t="s">
        <v>536</v>
      </c>
      <c r="B678" s="19" t="str">
        <f>INDEX(메뉴구조!$B$5:$B$300,MATCH($A678,메뉴구조!$A$5:$A$300,0))&amp;""</f>
        <v>더보기</v>
      </c>
      <c r="C678" s="19" t="str">
        <f>INDEX(메뉴구조!$C$5:$C$300,MATCH($A678,메뉴구조!$A$5:$A$300,0))&amp;""</f>
        <v>약관 및 정책</v>
      </c>
      <c r="D678" s="19" t="str">
        <f>INDEX(메뉴구조!$D$5:$D$300,MATCH($A678,메뉴구조!$A$5:$A$300,0))&amp;""</f>
        <v>서비스 이용약관</v>
      </c>
      <c r="E678" s="19" t="str">
        <f>INDEX(메뉴구조!$E$5:$E$300,MATCH($A678,메뉴구조!$A$5:$A$300,0))&amp;""</f>
        <v>—</v>
      </c>
      <c r="F678" s="9" t="str">
        <f>INDEX(메뉴구조!$G$5:$G$300,MATCH($A678,메뉴구조!$A$5:$A$300,0))&amp;""</f>
        <v>더보기 / 약관 및 정책 / 서비스 이용약관</v>
      </c>
      <c r="G678" s="18">
        <v>1</v>
      </c>
      <c r="H678" s="9" t="s">
        <v>2105</v>
      </c>
      <c r="I678" s="9" t="s">
        <v>2129</v>
      </c>
      <c r="J678" s="9"/>
      <c r="K678" s="25" t="s">
        <v>13</v>
      </c>
      <c r="L678" s="9" t="s">
        <v>851</v>
      </c>
      <c r="M678" s="9"/>
    </row>
    <row r="679" spans="1:13" ht="112.5" hidden="1">
      <c r="A679" s="18" t="s">
        <v>536</v>
      </c>
      <c r="B679" s="19" t="str">
        <f>INDEX(메뉴구조!$B$5:$B$300,MATCH($A679,메뉴구조!$A$5:$A$300,0))&amp;""</f>
        <v>더보기</v>
      </c>
      <c r="C679" s="19" t="str">
        <f>INDEX(메뉴구조!$C$5:$C$300,MATCH($A679,메뉴구조!$A$5:$A$300,0))&amp;""</f>
        <v>약관 및 정책</v>
      </c>
      <c r="D679" s="19" t="str">
        <f>INDEX(메뉴구조!$D$5:$D$300,MATCH($A679,메뉴구조!$A$5:$A$300,0))&amp;""</f>
        <v>서비스 이용약관</v>
      </c>
      <c r="E679" s="19" t="str">
        <f>INDEX(메뉴구조!$E$5:$E$300,MATCH($A679,메뉴구조!$A$5:$A$300,0))&amp;""</f>
        <v>—</v>
      </c>
      <c r="F679" s="9" t="str">
        <f>INDEX(메뉴구조!$G$5:$G$300,MATCH($A679,메뉴구조!$A$5:$A$300,0))&amp;""</f>
        <v>더보기 / 약관 및 정책 / 서비스 이용약관</v>
      </c>
      <c r="G679" s="18">
        <v>2</v>
      </c>
      <c r="H679" s="9" t="s">
        <v>2130</v>
      </c>
      <c r="I679" s="9" t="s">
        <v>2131</v>
      </c>
      <c r="J679" s="9" t="s">
        <v>2132</v>
      </c>
      <c r="K679" s="25" t="s">
        <v>13</v>
      </c>
      <c r="L679" s="9" t="s">
        <v>851</v>
      </c>
      <c r="M679" s="9"/>
    </row>
    <row r="680" spans="1:13" ht="100" hidden="1">
      <c r="A680" s="18" t="s">
        <v>536</v>
      </c>
      <c r="B680" s="19" t="str">
        <f>INDEX(메뉴구조!$B$5:$B$300,MATCH($A680,메뉴구조!$A$5:$A$300,0))&amp;""</f>
        <v>더보기</v>
      </c>
      <c r="C680" s="19" t="str">
        <f>INDEX(메뉴구조!$C$5:$C$300,MATCH($A680,메뉴구조!$A$5:$A$300,0))&amp;""</f>
        <v>약관 및 정책</v>
      </c>
      <c r="D680" s="19" t="str">
        <f>INDEX(메뉴구조!$D$5:$D$300,MATCH($A680,메뉴구조!$A$5:$A$300,0))&amp;""</f>
        <v>서비스 이용약관</v>
      </c>
      <c r="E680" s="19" t="str">
        <f>INDEX(메뉴구조!$E$5:$E$300,MATCH($A680,메뉴구조!$A$5:$A$300,0))&amp;""</f>
        <v>—</v>
      </c>
      <c r="F680" s="9" t="str">
        <f>INDEX(메뉴구조!$G$5:$G$300,MATCH($A680,메뉴구조!$A$5:$A$300,0))&amp;""</f>
        <v>더보기 / 약관 및 정책 / 서비스 이용약관</v>
      </c>
      <c r="G680" s="18">
        <v>3</v>
      </c>
      <c r="H680" s="9" t="s">
        <v>2133</v>
      </c>
      <c r="I680" s="9" t="s">
        <v>2134</v>
      </c>
      <c r="J680" s="9" t="s">
        <v>2135</v>
      </c>
      <c r="K680" s="25" t="s">
        <v>13</v>
      </c>
      <c r="L680" s="9" t="s">
        <v>851</v>
      </c>
      <c r="M680" s="9"/>
    </row>
    <row r="681" spans="1:13" ht="62.5" hidden="1">
      <c r="A681" s="18" t="s">
        <v>536</v>
      </c>
      <c r="B681" s="19" t="str">
        <f>INDEX(메뉴구조!$B$5:$B$300,MATCH($A681,메뉴구조!$A$5:$A$300,0))&amp;""</f>
        <v>더보기</v>
      </c>
      <c r="C681" s="19" t="str">
        <f>INDEX(메뉴구조!$C$5:$C$300,MATCH($A681,메뉴구조!$A$5:$A$300,0))&amp;""</f>
        <v>약관 및 정책</v>
      </c>
      <c r="D681" s="19" t="str">
        <f>INDEX(메뉴구조!$D$5:$D$300,MATCH($A681,메뉴구조!$A$5:$A$300,0))&amp;""</f>
        <v>서비스 이용약관</v>
      </c>
      <c r="E681" s="19" t="str">
        <f>INDEX(메뉴구조!$E$5:$E$300,MATCH($A681,메뉴구조!$A$5:$A$300,0))&amp;""</f>
        <v>—</v>
      </c>
      <c r="F681" s="9" t="str">
        <f>INDEX(메뉴구조!$G$5:$G$300,MATCH($A681,메뉴구조!$A$5:$A$300,0))&amp;""</f>
        <v>더보기 / 약관 및 정책 / 서비스 이용약관</v>
      </c>
      <c r="G681" s="18">
        <v>4</v>
      </c>
      <c r="H681" s="9" t="s">
        <v>2136</v>
      </c>
      <c r="I681" s="9" t="s">
        <v>2137</v>
      </c>
      <c r="J681" s="9"/>
      <c r="K681" s="25" t="s">
        <v>13</v>
      </c>
      <c r="L681" s="9" t="s">
        <v>851</v>
      </c>
      <c r="M681" s="9"/>
    </row>
    <row r="682" spans="1:13" ht="25" hidden="1">
      <c r="A682" s="18" t="s">
        <v>540</v>
      </c>
      <c r="B682" s="19" t="str">
        <f>INDEX(메뉴구조!$B$5:$B$300,MATCH($A682,메뉴구조!$A$5:$A$300,0))&amp;""</f>
        <v>더보기</v>
      </c>
      <c r="C682" s="19" t="str">
        <f>INDEX(메뉴구조!$C$5:$C$300,MATCH($A682,메뉴구조!$A$5:$A$300,0))&amp;""</f>
        <v>약관 및 정책</v>
      </c>
      <c r="D682" s="19" t="str">
        <f>INDEX(메뉴구조!$D$5:$D$300,MATCH($A682,메뉴구조!$A$5:$A$300,0))&amp;""</f>
        <v>개인정보 처리방침</v>
      </c>
      <c r="E682" s="19" t="str">
        <f>INDEX(메뉴구조!$E$5:$E$300,MATCH($A682,메뉴구조!$A$5:$A$300,0))&amp;""</f>
        <v>—</v>
      </c>
      <c r="F682" s="9" t="str">
        <f>INDEX(메뉴구조!$G$5:$G$300,MATCH($A682,메뉴구조!$A$5:$A$300,0))&amp;""</f>
        <v>더보기 / 약관 및 정책 / 개인정보 처리방침</v>
      </c>
      <c r="G682" s="18">
        <v>1</v>
      </c>
      <c r="H682" s="9" t="s">
        <v>2105</v>
      </c>
      <c r="I682" s="9" t="s">
        <v>2138</v>
      </c>
      <c r="J682" s="9"/>
      <c r="K682" s="25" t="s">
        <v>13</v>
      </c>
      <c r="L682" s="9" t="s">
        <v>851</v>
      </c>
      <c r="M682" s="9"/>
    </row>
    <row r="683" spans="1:13" ht="25" hidden="1">
      <c r="A683" s="18" t="s">
        <v>540</v>
      </c>
      <c r="B683" s="19" t="str">
        <f>INDEX(메뉴구조!$B$5:$B$300,MATCH($A683,메뉴구조!$A$5:$A$300,0))&amp;""</f>
        <v>더보기</v>
      </c>
      <c r="C683" s="19" t="str">
        <f>INDEX(메뉴구조!$C$5:$C$300,MATCH($A683,메뉴구조!$A$5:$A$300,0))&amp;""</f>
        <v>약관 및 정책</v>
      </c>
      <c r="D683" s="19" t="str">
        <f>INDEX(메뉴구조!$D$5:$D$300,MATCH($A683,메뉴구조!$A$5:$A$300,0))&amp;""</f>
        <v>개인정보 처리방침</v>
      </c>
      <c r="E683" s="19" t="str">
        <f>INDEX(메뉴구조!$E$5:$E$300,MATCH($A683,메뉴구조!$A$5:$A$300,0))&amp;""</f>
        <v>—</v>
      </c>
      <c r="F683" s="9" t="str">
        <f>INDEX(메뉴구조!$G$5:$G$300,MATCH($A683,메뉴구조!$A$5:$A$300,0))&amp;""</f>
        <v>더보기 / 약관 및 정책 / 개인정보 처리방침</v>
      </c>
      <c r="G683" s="18">
        <v>2</v>
      </c>
      <c r="H683" s="9" t="s">
        <v>2139</v>
      </c>
      <c r="I683" s="9" t="s">
        <v>2140</v>
      </c>
      <c r="J683" s="9"/>
      <c r="K683" s="25" t="s">
        <v>13</v>
      </c>
      <c r="L683" s="9" t="s">
        <v>851</v>
      </c>
      <c r="M683" s="9"/>
    </row>
    <row r="684" spans="1:13" ht="100" hidden="1">
      <c r="A684" s="18" t="s">
        <v>540</v>
      </c>
      <c r="B684" s="19" t="str">
        <f>INDEX(메뉴구조!$B$5:$B$300,MATCH($A684,메뉴구조!$A$5:$A$300,0))&amp;""</f>
        <v>더보기</v>
      </c>
      <c r="C684" s="19" t="str">
        <f>INDEX(메뉴구조!$C$5:$C$300,MATCH($A684,메뉴구조!$A$5:$A$300,0))&amp;""</f>
        <v>약관 및 정책</v>
      </c>
      <c r="D684" s="19" t="str">
        <f>INDEX(메뉴구조!$D$5:$D$300,MATCH($A684,메뉴구조!$A$5:$A$300,0))&amp;""</f>
        <v>개인정보 처리방침</v>
      </c>
      <c r="E684" s="19" t="str">
        <f>INDEX(메뉴구조!$E$5:$E$300,MATCH($A684,메뉴구조!$A$5:$A$300,0))&amp;""</f>
        <v>—</v>
      </c>
      <c r="F684" s="9" t="str">
        <f>INDEX(메뉴구조!$G$5:$G$300,MATCH($A684,메뉴구조!$A$5:$A$300,0))&amp;""</f>
        <v>더보기 / 약관 및 정책 / 개인정보 처리방침</v>
      </c>
      <c r="G684" s="18">
        <v>3</v>
      </c>
      <c r="H684" s="31" t="s">
        <v>2141</v>
      </c>
      <c r="I684" s="31" t="s">
        <v>2142</v>
      </c>
      <c r="J684" s="9" t="s">
        <v>2143</v>
      </c>
      <c r="K684" s="20" t="s">
        <v>9</v>
      </c>
      <c r="L684" s="9" t="s">
        <v>2144</v>
      </c>
      <c r="M684" s="9" t="s">
        <v>2145</v>
      </c>
    </row>
    <row r="685" spans="1:13" ht="37.5" hidden="1">
      <c r="A685" s="18" t="s">
        <v>540</v>
      </c>
      <c r="B685" s="19" t="str">
        <f>INDEX(메뉴구조!$B$5:$B$300,MATCH($A685,메뉴구조!$A$5:$A$300,0))&amp;""</f>
        <v>더보기</v>
      </c>
      <c r="C685" s="19" t="str">
        <f>INDEX(메뉴구조!$C$5:$C$300,MATCH($A685,메뉴구조!$A$5:$A$300,0))&amp;""</f>
        <v>약관 및 정책</v>
      </c>
      <c r="D685" s="19" t="str">
        <f>INDEX(메뉴구조!$D$5:$D$300,MATCH($A685,메뉴구조!$A$5:$A$300,0))&amp;""</f>
        <v>개인정보 처리방침</v>
      </c>
      <c r="E685" s="19" t="str">
        <f>INDEX(메뉴구조!$E$5:$E$300,MATCH($A685,메뉴구조!$A$5:$A$300,0))&amp;""</f>
        <v>—</v>
      </c>
      <c r="F685" s="9" t="str">
        <f>INDEX(메뉴구조!$G$5:$G$300,MATCH($A685,메뉴구조!$A$5:$A$300,0))&amp;""</f>
        <v>더보기 / 약관 및 정책 / 개인정보 처리방침</v>
      </c>
      <c r="G685" s="18">
        <v>4</v>
      </c>
      <c r="H685" s="9" t="s">
        <v>2146</v>
      </c>
      <c r="I685" s="9" t="s">
        <v>2147</v>
      </c>
      <c r="J685" s="9"/>
      <c r="K685" s="25" t="s">
        <v>13</v>
      </c>
      <c r="L685" s="9" t="s">
        <v>851</v>
      </c>
      <c r="M685" s="9"/>
    </row>
    <row r="686" spans="1:13" ht="25" hidden="1">
      <c r="A686" s="18" t="s">
        <v>543</v>
      </c>
      <c r="B686" s="19" t="str">
        <f>INDEX(메뉴구조!$B$5:$B$300,MATCH($A686,메뉴구조!$A$5:$A$300,0))&amp;""</f>
        <v>더보기</v>
      </c>
      <c r="C686" s="19" t="str">
        <f>INDEX(메뉴구조!$C$5:$C$300,MATCH($A686,메뉴구조!$A$5:$A$300,0))&amp;""</f>
        <v>약관 및 정책</v>
      </c>
      <c r="D686" s="19" t="str">
        <f>INDEX(메뉴구조!$D$5:$D$300,MATCH($A686,메뉴구조!$A$5:$A$300,0))&amp;""</f>
        <v>위치기반서비스 이용약관</v>
      </c>
      <c r="E686" s="19" t="str">
        <f>INDEX(메뉴구조!$E$5:$E$300,MATCH($A686,메뉴구조!$A$5:$A$300,0))&amp;""</f>
        <v>—</v>
      </c>
      <c r="F686" s="9" t="str">
        <f>INDEX(메뉴구조!$G$5:$G$300,MATCH($A686,메뉴구조!$A$5:$A$300,0))&amp;""</f>
        <v>더보기 / 약관 및 정책 / 위치기반서비스 이용약관</v>
      </c>
      <c r="G686" s="18">
        <v>1</v>
      </c>
      <c r="H686" s="9" t="s">
        <v>2105</v>
      </c>
      <c r="I686" s="9" t="s">
        <v>2148</v>
      </c>
      <c r="J686" s="9"/>
      <c r="K686" s="25" t="s">
        <v>13</v>
      </c>
      <c r="L686" s="9" t="s">
        <v>851</v>
      </c>
      <c r="M686" s="9"/>
    </row>
    <row r="687" spans="1:13" ht="37.5" hidden="1">
      <c r="A687" s="18" t="s">
        <v>543</v>
      </c>
      <c r="B687" s="19" t="str">
        <f>INDEX(메뉴구조!$B$5:$B$300,MATCH($A687,메뉴구조!$A$5:$A$300,0))&amp;""</f>
        <v>더보기</v>
      </c>
      <c r="C687" s="19" t="str">
        <f>INDEX(메뉴구조!$C$5:$C$300,MATCH($A687,메뉴구조!$A$5:$A$300,0))&amp;""</f>
        <v>약관 및 정책</v>
      </c>
      <c r="D687" s="19" t="str">
        <f>INDEX(메뉴구조!$D$5:$D$300,MATCH($A687,메뉴구조!$A$5:$A$300,0))&amp;""</f>
        <v>위치기반서비스 이용약관</v>
      </c>
      <c r="E687" s="19" t="str">
        <f>INDEX(메뉴구조!$E$5:$E$300,MATCH($A687,메뉴구조!$A$5:$A$300,0))&amp;""</f>
        <v>—</v>
      </c>
      <c r="F687" s="9" t="str">
        <f>INDEX(메뉴구조!$G$5:$G$300,MATCH($A687,메뉴구조!$A$5:$A$300,0))&amp;""</f>
        <v>더보기 / 약관 및 정책 / 위치기반서비스 이용약관</v>
      </c>
      <c r="G687" s="18">
        <v>2</v>
      </c>
      <c r="H687" s="9" t="s">
        <v>2130</v>
      </c>
      <c r="I687" s="9" t="s">
        <v>2149</v>
      </c>
      <c r="J687" s="9"/>
      <c r="K687" s="25" t="s">
        <v>13</v>
      </c>
      <c r="L687" s="9" t="s">
        <v>851</v>
      </c>
      <c r="M687" s="9"/>
    </row>
    <row r="688" spans="1:13" ht="62.5" hidden="1">
      <c r="A688" s="18" t="s">
        <v>543</v>
      </c>
      <c r="B688" s="19" t="str">
        <f>INDEX(메뉴구조!$B$5:$B$300,MATCH($A688,메뉴구조!$A$5:$A$300,0))&amp;""</f>
        <v>더보기</v>
      </c>
      <c r="C688" s="19" t="str">
        <f>INDEX(메뉴구조!$C$5:$C$300,MATCH($A688,메뉴구조!$A$5:$A$300,0))&amp;""</f>
        <v>약관 및 정책</v>
      </c>
      <c r="D688" s="19" t="str">
        <f>INDEX(메뉴구조!$D$5:$D$300,MATCH($A688,메뉴구조!$A$5:$A$300,0))&amp;""</f>
        <v>위치기반서비스 이용약관</v>
      </c>
      <c r="E688" s="19" t="str">
        <f>INDEX(메뉴구조!$E$5:$E$300,MATCH($A688,메뉴구조!$A$5:$A$300,0))&amp;""</f>
        <v>—</v>
      </c>
      <c r="F688" s="9" t="str">
        <f>INDEX(메뉴구조!$G$5:$G$300,MATCH($A688,메뉴구조!$A$5:$A$300,0))&amp;""</f>
        <v>더보기 / 약관 및 정책 / 위치기반서비스 이용약관</v>
      </c>
      <c r="G688" s="18">
        <v>3</v>
      </c>
      <c r="H688" s="9" t="s">
        <v>2150</v>
      </c>
      <c r="I688" s="9" t="s">
        <v>2151</v>
      </c>
      <c r="J688" s="9"/>
      <c r="K688" s="25" t="s">
        <v>13</v>
      </c>
      <c r="L688" s="9" t="s">
        <v>851</v>
      </c>
      <c r="M688" s="9"/>
    </row>
    <row r="689" spans="1:13" ht="50" hidden="1">
      <c r="A689" s="18" t="s">
        <v>543</v>
      </c>
      <c r="B689" s="19" t="str">
        <f>INDEX(메뉴구조!$B$5:$B$300,MATCH($A689,메뉴구조!$A$5:$A$300,0))&amp;""</f>
        <v>더보기</v>
      </c>
      <c r="C689" s="19" t="str">
        <f>INDEX(메뉴구조!$C$5:$C$300,MATCH($A689,메뉴구조!$A$5:$A$300,0))&amp;""</f>
        <v>약관 및 정책</v>
      </c>
      <c r="D689" s="19" t="str">
        <f>INDEX(메뉴구조!$D$5:$D$300,MATCH($A689,메뉴구조!$A$5:$A$300,0))&amp;""</f>
        <v>위치기반서비스 이용약관</v>
      </c>
      <c r="E689" s="19" t="str">
        <f>INDEX(메뉴구조!$E$5:$E$300,MATCH($A689,메뉴구조!$A$5:$A$300,0))&amp;""</f>
        <v>—</v>
      </c>
      <c r="F689" s="9" t="str">
        <f>INDEX(메뉴구조!$G$5:$G$300,MATCH($A689,메뉴구조!$A$5:$A$300,0))&amp;""</f>
        <v>더보기 / 약관 및 정책 / 위치기반서비스 이용약관</v>
      </c>
      <c r="G689" s="18">
        <v>4</v>
      </c>
      <c r="H689" s="9" t="s">
        <v>2152</v>
      </c>
      <c r="I689" s="9" t="s">
        <v>2153</v>
      </c>
      <c r="J689" s="9"/>
      <c r="K689" s="25" t="s">
        <v>13</v>
      </c>
      <c r="L689" s="9" t="s">
        <v>851</v>
      </c>
      <c r="M689" s="9"/>
    </row>
    <row r="690" spans="1:13" ht="75" hidden="1">
      <c r="A690" s="18" t="s">
        <v>546</v>
      </c>
      <c r="B690" s="19" t="str">
        <f>INDEX(메뉴구조!$B$5:$B$300,MATCH($A690,메뉴구조!$A$5:$A$300,0))&amp;""</f>
        <v>더보기</v>
      </c>
      <c r="C690" s="19" t="str">
        <f>INDEX(메뉴구조!$C$5:$C$300,MATCH($A690,메뉴구조!$A$5:$A$300,0))&amp;""</f>
        <v>약관 및 정책</v>
      </c>
      <c r="D690" s="19" t="str">
        <f>INDEX(메뉴구조!$D$5:$D$300,MATCH($A690,메뉴구조!$A$5:$A$300,0))&amp;""</f>
        <v>커뮤니티 운영정책</v>
      </c>
      <c r="E690" s="19" t="str">
        <f>INDEX(메뉴구조!$E$5:$E$300,MATCH($A690,메뉴구조!$A$5:$A$300,0))&amp;""</f>
        <v>—</v>
      </c>
      <c r="F690" s="9" t="str">
        <f>INDEX(메뉴구조!$G$5:$G$300,MATCH($A690,메뉴구조!$A$5:$A$300,0))&amp;""</f>
        <v>더보기 / 약관 및 정책 / 커뮤니티 운영정책</v>
      </c>
      <c r="G690" s="18">
        <v>1</v>
      </c>
      <c r="H690" s="9" t="s">
        <v>2154</v>
      </c>
      <c r="I690" s="9" t="s">
        <v>2155</v>
      </c>
      <c r="J690" s="9" t="s">
        <v>2156</v>
      </c>
      <c r="K690" s="25" t="s">
        <v>13</v>
      </c>
      <c r="L690" s="9" t="s">
        <v>851</v>
      </c>
      <c r="M690" s="9"/>
    </row>
    <row r="691" spans="1:13" ht="87.5" hidden="1">
      <c r="A691" s="18" t="s">
        <v>546</v>
      </c>
      <c r="B691" s="19" t="str">
        <f>INDEX(메뉴구조!$B$5:$B$300,MATCH($A691,메뉴구조!$A$5:$A$300,0))&amp;""</f>
        <v>더보기</v>
      </c>
      <c r="C691" s="19" t="str">
        <f>INDEX(메뉴구조!$C$5:$C$300,MATCH($A691,메뉴구조!$A$5:$A$300,0))&amp;""</f>
        <v>약관 및 정책</v>
      </c>
      <c r="D691" s="19" t="str">
        <f>INDEX(메뉴구조!$D$5:$D$300,MATCH($A691,메뉴구조!$A$5:$A$300,0))&amp;""</f>
        <v>커뮤니티 운영정책</v>
      </c>
      <c r="E691" s="19" t="str">
        <f>INDEX(메뉴구조!$E$5:$E$300,MATCH($A691,메뉴구조!$A$5:$A$300,0))&amp;""</f>
        <v>—</v>
      </c>
      <c r="F691" s="9" t="str">
        <f>INDEX(메뉴구조!$G$5:$G$300,MATCH($A691,메뉴구조!$A$5:$A$300,0))&amp;""</f>
        <v>더보기 / 약관 및 정책 / 커뮤니티 운영정책</v>
      </c>
      <c r="G691" s="18">
        <v>2</v>
      </c>
      <c r="H691" s="9" t="s">
        <v>2157</v>
      </c>
      <c r="I691" s="9" t="s">
        <v>2158</v>
      </c>
      <c r="J691" s="9" t="s">
        <v>2159</v>
      </c>
      <c r="K691" s="25" t="s">
        <v>13</v>
      </c>
      <c r="L691" s="9" t="s">
        <v>851</v>
      </c>
      <c r="M691" s="9"/>
    </row>
    <row r="692" spans="1:13" ht="75" hidden="1">
      <c r="A692" s="18" t="s">
        <v>546</v>
      </c>
      <c r="B692" s="19" t="str">
        <f>INDEX(메뉴구조!$B$5:$B$300,MATCH($A692,메뉴구조!$A$5:$A$300,0))&amp;""</f>
        <v>더보기</v>
      </c>
      <c r="C692" s="19" t="str">
        <f>INDEX(메뉴구조!$C$5:$C$300,MATCH($A692,메뉴구조!$A$5:$A$300,0))&amp;""</f>
        <v>약관 및 정책</v>
      </c>
      <c r="D692" s="19" t="str">
        <f>INDEX(메뉴구조!$D$5:$D$300,MATCH($A692,메뉴구조!$A$5:$A$300,0))&amp;""</f>
        <v>커뮤니티 운영정책</v>
      </c>
      <c r="E692" s="19" t="str">
        <f>INDEX(메뉴구조!$E$5:$E$300,MATCH($A692,메뉴구조!$A$5:$A$300,0))&amp;""</f>
        <v>—</v>
      </c>
      <c r="F692" s="9" t="str">
        <f>INDEX(메뉴구조!$G$5:$G$300,MATCH($A692,메뉴구조!$A$5:$A$300,0))&amp;""</f>
        <v>더보기 / 약관 및 정책 / 커뮤니티 운영정책</v>
      </c>
      <c r="G692" s="18">
        <v>3</v>
      </c>
      <c r="H692" s="9" t="s">
        <v>2160</v>
      </c>
      <c r="I692" s="9" t="s">
        <v>2161</v>
      </c>
      <c r="J692" s="9" t="s">
        <v>2162</v>
      </c>
      <c r="K692" s="25" t="s">
        <v>13</v>
      </c>
      <c r="L692" s="9" t="s">
        <v>851</v>
      </c>
      <c r="M692" s="9"/>
    </row>
    <row r="693" spans="1:13" ht="75" hidden="1">
      <c r="A693" s="18" t="s">
        <v>546</v>
      </c>
      <c r="B693" s="19" t="str">
        <f>INDEX(메뉴구조!$B$5:$B$300,MATCH($A693,메뉴구조!$A$5:$A$300,0))&amp;""</f>
        <v>더보기</v>
      </c>
      <c r="C693" s="19" t="str">
        <f>INDEX(메뉴구조!$C$5:$C$300,MATCH($A693,메뉴구조!$A$5:$A$300,0))&amp;""</f>
        <v>약관 및 정책</v>
      </c>
      <c r="D693" s="19" t="str">
        <f>INDEX(메뉴구조!$D$5:$D$300,MATCH($A693,메뉴구조!$A$5:$A$300,0))&amp;""</f>
        <v>커뮤니티 운영정책</v>
      </c>
      <c r="E693" s="19" t="str">
        <f>INDEX(메뉴구조!$E$5:$E$300,MATCH($A693,메뉴구조!$A$5:$A$300,0))&amp;""</f>
        <v>—</v>
      </c>
      <c r="F693" s="9" t="str">
        <f>INDEX(메뉴구조!$G$5:$G$300,MATCH($A693,메뉴구조!$A$5:$A$300,0))&amp;""</f>
        <v>더보기 / 약관 및 정책 / 커뮤니티 운영정책</v>
      </c>
      <c r="G693" s="18">
        <v>4</v>
      </c>
      <c r="H693" s="9" t="s">
        <v>2163</v>
      </c>
      <c r="I693" s="9" t="s">
        <v>2164</v>
      </c>
      <c r="J693" s="9" t="s">
        <v>2165</v>
      </c>
      <c r="K693" s="25" t="s">
        <v>13</v>
      </c>
      <c r="L693" s="9" t="s">
        <v>851</v>
      </c>
      <c r="M693" s="9"/>
    </row>
    <row r="694" spans="1:13" ht="50" hidden="1">
      <c r="A694" s="18" t="s">
        <v>549</v>
      </c>
      <c r="B694" s="19" t="str">
        <f>INDEX(메뉴구조!$B$5:$B$300,MATCH($A694,메뉴구조!$A$5:$A$300,0))&amp;""</f>
        <v>더보기</v>
      </c>
      <c r="C694" s="19" t="str">
        <f>INDEX(메뉴구조!$C$5:$C$300,MATCH($A694,메뉴구조!$A$5:$A$300,0))&amp;""</f>
        <v>회사소개</v>
      </c>
      <c r="D694" s="19" t="str">
        <f>INDEX(메뉴구조!$D$5:$D$300,MATCH($A694,메뉴구조!$A$5:$A$300,0))&amp;""</f>
        <v>—</v>
      </c>
      <c r="E694" s="19" t="str">
        <f>INDEX(메뉴구조!$E$5:$E$300,MATCH($A694,메뉴구조!$A$5:$A$300,0))&amp;""</f>
        <v>—</v>
      </c>
      <c r="F694" s="9" t="str">
        <f>INDEX(메뉴구조!$G$5:$G$300,MATCH($A694,메뉴구조!$A$5:$A$300,0))&amp;""</f>
        <v>더보기 / 회사소개</v>
      </c>
      <c r="G694" s="18">
        <v>1</v>
      </c>
      <c r="H694" s="9" t="s">
        <v>2166</v>
      </c>
      <c r="I694" s="9" t="s">
        <v>2167</v>
      </c>
      <c r="J694" s="9"/>
      <c r="K694" s="18" t="s">
        <v>17</v>
      </c>
      <c r="L694" s="9"/>
      <c r="M694" s="9"/>
    </row>
    <row r="695" spans="1:13" ht="50" hidden="1">
      <c r="A695" s="18" t="s">
        <v>549</v>
      </c>
      <c r="B695" s="19" t="str">
        <f>INDEX(메뉴구조!$B$5:$B$300,MATCH($A695,메뉴구조!$A$5:$A$300,0))&amp;""</f>
        <v>더보기</v>
      </c>
      <c r="C695" s="19" t="str">
        <f>INDEX(메뉴구조!$C$5:$C$300,MATCH($A695,메뉴구조!$A$5:$A$300,0))&amp;""</f>
        <v>회사소개</v>
      </c>
      <c r="D695" s="19" t="str">
        <f>INDEX(메뉴구조!$D$5:$D$300,MATCH($A695,메뉴구조!$A$5:$A$300,0))&amp;""</f>
        <v>—</v>
      </c>
      <c r="E695" s="19" t="str">
        <f>INDEX(메뉴구조!$E$5:$E$300,MATCH($A695,메뉴구조!$A$5:$A$300,0))&amp;""</f>
        <v>—</v>
      </c>
      <c r="F695" s="9" t="str">
        <f>INDEX(메뉴구조!$G$5:$G$300,MATCH($A695,메뉴구조!$A$5:$A$300,0))&amp;""</f>
        <v>더보기 / 회사소개</v>
      </c>
      <c r="G695" s="18">
        <v>2</v>
      </c>
      <c r="H695" s="9" t="s">
        <v>2168</v>
      </c>
      <c r="I695" s="9" t="s">
        <v>2169</v>
      </c>
      <c r="J695" s="9"/>
      <c r="K695" s="18" t="s">
        <v>17</v>
      </c>
      <c r="L695" s="9"/>
      <c r="M695" s="9"/>
    </row>
    <row r="696" spans="1:13" ht="50" hidden="1">
      <c r="A696" s="18" t="s">
        <v>549</v>
      </c>
      <c r="B696" s="19" t="str">
        <f>INDEX(메뉴구조!$B$5:$B$300,MATCH($A696,메뉴구조!$A$5:$A$300,0))&amp;""</f>
        <v>더보기</v>
      </c>
      <c r="C696" s="19" t="str">
        <f>INDEX(메뉴구조!$C$5:$C$300,MATCH($A696,메뉴구조!$A$5:$A$300,0))&amp;""</f>
        <v>회사소개</v>
      </c>
      <c r="D696" s="19" t="str">
        <f>INDEX(메뉴구조!$D$5:$D$300,MATCH($A696,메뉴구조!$A$5:$A$300,0))&amp;""</f>
        <v>—</v>
      </c>
      <c r="E696" s="19" t="str">
        <f>INDEX(메뉴구조!$E$5:$E$300,MATCH($A696,메뉴구조!$A$5:$A$300,0))&amp;""</f>
        <v>—</v>
      </c>
      <c r="F696" s="9" t="str">
        <f>INDEX(메뉴구조!$G$5:$G$300,MATCH($A696,메뉴구조!$A$5:$A$300,0))&amp;""</f>
        <v>더보기 / 회사소개</v>
      </c>
      <c r="G696" s="18">
        <v>3</v>
      </c>
      <c r="H696" s="9" t="s">
        <v>2170</v>
      </c>
      <c r="I696" s="9" t="s">
        <v>2171</v>
      </c>
      <c r="J696" s="9"/>
      <c r="K696" s="18" t="s">
        <v>17</v>
      </c>
      <c r="L696" s="9"/>
      <c r="M696" s="9"/>
    </row>
    <row r="697" spans="1:13" hidden="1">
      <c r="A697" s="18" t="s">
        <v>551</v>
      </c>
      <c r="B697" s="19" t="str">
        <f>INDEX(메뉴구조!$B$5:$B$300,MATCH($A697,메뉴구조!$A$5:$A$300,0))&amp;""</f>
        <v>알림</v>
      </c>
      <c r="C697" s="19" t="str">
        <f>INDEX(메뉴구조!$C$5:$C$300,MATCH($A697,메뉴구조!$A$5:$A$300,0))&amp;""</f>
        <v>전체</v>
      </c>
      <c r="D697" s="19" t="str">
        <f>INDEX(메뉴구조!$D$5:$D$300,MATCH($A697,메뉴구조!$A$5:$A$300,0))&amp;""</f>
        <v>—</v>
      </c>
      <c r="E697" s="19" t="str">
        <f>INDEX(메뉴구조!$E$5:$E$300,MATCH($A697,메뉴구조!$A$5:$A$300,0))&amp;""</f>
        <v>—</v>
      </c>
      <c r="F697" s="9" t="str">
        <f>INDEX(메뉴구조!$G$5:$G$300,MATCH($A697,메뉴구조!$A$5:$A$300,0))&amp;""</f>
        <v>알림 / 전체</v>
      </c>
      <c r="G697" s="18">
        <v>1</v>
      </c>
      <c r="H697" s="9" t="s">
        <v>2172</v>
      </c>
      <c r="I697" s="9" t="s">
        <v>2173</v>
      </c>
      <c r="J697" s="9"/>
      <c r="K697" s="18" t="s">
        <v>17</v>
      </c>
      <c r="L697" s="9"/>
      <c r="M697" s="9"/>
    </row>
    <row r="698" spans="1:13" hidden="1">
      <c r="A698" s="18" t="s">
        <v>551</v>
      </c>
      <c r="B698" s="19" t="str">
        <f>INDEX(메뉴구조!$B$5:$B$300,MATCH($A698,메뉴구조!$A$5:$A$300,0))&amp;""</f>
        <v>알림</v>
      </c>
      <c r="C698" s="19" t="str">
        <f>INDEX(메뉴구조!$C$5:$C$300,MATCH($A698,메뉴구조!$A$5:$A$300,0))&amp;""</f>
        <v>전체</v>
      </c>
      <c r="D698" s="19" t="str">
        <f>INDEX(메뉴구조!$D$5:$D$300,MATCH($A698,메뉴구조!$A$5:$A$300,0))&amp;""</f>
        <v>—</v>
      </c>
      <c r="E698" s="19" t="str">
        <f>INDEX(메뉴구조!$E$5:$E$300,MATCH($A698,메뉴구조!$A$5:$A$300,0))&amp;""</f>
        <v>—</v>
      </c>
      <c r="F698" s="9" t="str">
        <f>INDEX(메뉴구조!$G$5:$G$300,MATCH($A698,메뉴구조!$A$5:$A$300,0))&amp;""</f>
        <v>알림 / 전체</v>
      </c>
      <c r="G698" s="18">
        <v>2</v>
      </c>
      <c r="H698" s="9" t="s">
        <v>2174</v>
      </c>
      <c r="I698" s="9" t="s">
        <v>2175</v>
      </c>
      <c r="J698" s="9"/>
      <c r="K698" s="18" t="s">
        <v>17</v>
      </c>
      <c r="L698" s="9"/>
      <c r="M698" s="9"/>
    </row>
    <row r="699" spans="1:13" ht="25" hidden="1">
      <c r="A699" s="18" t="s">
        <v>551</v>
      </c>
      <c r="B699" s="19" t="str">
        <f>INDEX(메뉴구조!$B$5:$B$300,MATCH($A699,메뉴구조!$A$5:$A$300,0))&amp;""</f>
        <v>알림</v>
      </c>
      <c r="C699" s="19" t="str">
        <f>INDEX(메뉴구조!$C$5:$C$300,MATCH($A699,메뉴구조!$A$5:$A$300,0))&amp;""</f>
        <v>전체</v>
      </c>
      <c r="D699" s="19" t="str">
        <f>INDEX(메뉴구조!$D$5:$D$300,MATCH($A699,메뉴구조!$A$5:$A$300,0))&amp;""</f>
        <v>—</v>
      </c>
      <c r="E699" s="19" t="str">
        <f>INDEX(메뉴구조!$E$5:$E$300,MATCH($A699,메뉴구조!$A$5:$A$300,0))&amp;""</f>
        <v>—</v>
      </c>
      <c r="F699" s="9" t="str">
        <f>INDEX(메뉴구조!$G$5:$G$300,MATCH($A699,메뉴구조!$A$5:$A$300,0))&amp;""</f>
        <v>알림 / 전체</v>
      </c>
      <c r="G699" s="18">
        <v>3</v>
      </c>
      <c r="H699" s="9" t="s">
        <v>2176</v>
      </c>
      <c r="I699" s="9" t="s">
        <v>2177</v>
      </c>
      <c r="J699" s="9"/>
      <c r="K699" s="18" t="s">
        <v>17</v>
      </c>
      <c r="L699" s="9"/>
      <c r="M699" s="9"/>
    </row>
    <row r="700" spans="1:13" ht="75" hidden="1">
      <c r="A700" s="18" t="s">
        <v>551</v>
      </c>
      <c r="B700" s="19" t="str">
        <f>INDEX(메뉴구조!$B$5:$B$300,MATCH($A700,메뉴구조!$A$5:$A$300,0))&amp;""</f>
        <v>알림</v>
      </c>
      <c r="C700" s="19" t="str">
        <f>INDEX(메뉴구조!$C$5:$C$300,MATCH($A700,메뉴구조!$A$5:$A$300,0))&amp;""</f>
        <v>전체</v>
      </c>
      <c r="D700" s="19" t="str">
        <f>INDEX(메뉴구조!$D$5:$D$300,MATCH($A700,메뉴구조!$A$5:$A$300,0))&amp;""</f>
        <v>—</v>
      </c>
      <c r="E700" s="19" t="str">
        <f>INDEX(메뉴구조!$E$5:$E$300,MATCH($A700,메뉴구조!$A$5:$A$300,0))&amp;""</f>
        <v>—</v>
      </c>
      <c r="F700" s="9" t="str">
        <f>INDEX(메뉴구조!$G$5:$G$300,MATCH($A700,메뉴구조!$A$5:$A$300,0))&amp;""</f>
        <v>알림 / 전체</v>
      </c>
      <c r="G700" s="18">
        <v>4</v>
      </c>
      <c r="H700" s="31" t="s">
        <v>2178</v>
      </c>
      <c r="I700" s="31" t="s">
        <v>2179</v>
      </c>
      <c r="J700" s="9"/>
      <c r="K700" s="20" t="s">
        <v>9</v>
      </c>
      <c r="L700" s="9" t="s">
        <v>2180</v>
      </c>
      <c r="M700" s="9" t="s">
        <v>2181</v>
      </c>
    </row>
    <row r="701" spans="1:13" hidden="1">
      <c r="A701" s="18" t="s">
        <v>551</v>
      </c>
      <c r="B701" s="19" t="str">
        <f>INDEX(메뉴구조!$B$5:$B$300,MATCH($A701,메뉴구조!$A$5:$A$300,0))&amp;""</f>
        <v>알림</v>
      </c>
      <c r="C701" s="19" t="str">
        <f>INDEX(메뉴구조!$C$5:$C$300,MATCH($A701,메뉴구조!$A$5:$A$300,0))&amp;""</f>
        <v>전체</v>
      </c>
      <c r="D701" s="19" t="str">
        <f>INDEX(메뉴구조!$D$5:$D$300,MATCH($A701,메뉴구조!$A$5:$A$300,0))&amp;""</f>
        <v>—</v>
      </c>
      <c r="E701" s="19" t="str">
        <f>INDEX(메뉴구조!$E$5:$E$300,MATCH($A701,메뉴구조!$A$5:$A$300,0))&amp;""</f>
        <v>—</v>
      </c>
      <c r="F701" s="9" t="str">
        <f>INDEX(메뉴구조!$G$5:$G$300,MATCH($A701,메뉴구조!$A$5:$A$300,0))&amp;""</f>
        <v>알림 / 전체</v>
      </c>
      <c r="G701" s="18">
        <v>5</v>
      </c>
      <c r="H701" s="9" t="s">
        <v>775</v>
      </c>
      <c r="I701" s="9" t="s">
        <v>2182</v>
      </c>
      <c r="J701" s="9"/>
      <c r="K701" s="18" t="s">
        <v>17</v>
      </c>
      <c r="L701" s="9"/>
      <c r="M701" s="9"/>
    </row>
    <row r="702" spans="1:13" hidden="1">
      <c r="A702" s="18" t="s">
        <v>555</v>
      </c>
      <c r="B702" s="19" t="str">
        <f>INDEX(메뉴구조!$B$5:$B$300,MATCH($A702,메뉴구조!$A$5:$A$300,0))&amp;""</f>
        <v>알림</v>
      </c>
      <c r="C702" s="19" t="str">
        <f>INDEX(메뉴구조!$C$5:$C$300,MATCH($A702,메뉴구조!$A$5:$A$300,0))&amp;""</f>
        <v>거래·자산</v>
      </c>
      <c r="D702" s="19" t="str">
        <f>INDEX(메뉴구조!$D$5:$D$300,MATCH($A702,메뉴구조!$A$5:$A$300,0))&amp;""</f>
        <v>—</v>
      </c>
      <c r="E702" s="19" t="str">
        <f>INDEX(메뉴구조!$E$5:$E$300,MATCH($A702,메뉴구조!$A$5:$A$300,0))&amp;""</f>
        <v>—</v>
      </c>
      <c r="F702" s="9" t="str">
        <f>INDEX(메뉴구조!$G$5:$G$300,MATCH($A702,메뉴구조!$A$5:$A$300,0))&amp;""</f>
        <v>알림 / 거래·자산</v>
      </c>
      <c r="G702" s="18">
        <v>1</v>
      </c>
      <c r="H702" s="9" t="s">
        <v>2172</v>
      </c>
      <c r="I702" s="9" t="s">
        <v>2173</v>
      </c>
      <c r="J702" s="9"/>
      <c r="K702" s="18" t="s">
        <v>17</v>
      </c>
      <c r="L702" s="9"/>
      <c r="M702" s="9"/>
    </row>
    <row r="703" spans="1:13" ht="25" hidden="1">
      <c r="A703" s="18" t="s">
        <v>555</v>
      </c>
      <c r="B703" s="19" t="str">
        <f>INDEX(메뉴구조!$B$5:$B$300,MATCH($A703,메뉴구조!$A$5:$A$300,0))&amp;""</f>
        <v>알림</v>
      </c>
      <c r="C703" s="19" t="str">
        <f>INDEX(메뉴구조!$C$5:$C$300,MATCH($A703,메뉴구조!$A$5:$A$300,0))&amp;""</f>
        <v>거래·자산</v>
      </c>
      <c r="D703" s="19" t="str">
        <f>INDEX(메뉴구조!$D$5:$D$300,MATCH($A703,메뉴구조!$A$5:$A$300,0))&amp;""</f>
        <v>—</v>
      </c>
      <c r="E703" s="19" t="str">
        <f>INDEX(메뉴구조!$E$5:$E$300,MATCH($A703,메뉴구조!$A$5:$A$300,0))&amp;""</f>
        <v>—</v>
      </c>
      <c r="F703" s="9" t="str">
        <f>INDEX(메뉴구조!$G$5:$G$300,MATCH($A703,메뉴구조!$A$5:$A$300,0))&amp;""</f>
        <v>알림 / 거래·자산</v>
      </c>
      <c r="G703" s="18">
        <v>2</v>
      </c>
      <c r="H703" s="9" t="s">
        <v>2183</v>
      </c>
      <c r="I703" s="9" t="s">
        <v>2184</v>
      </c>
      <c r="J703" s="9"/>
      <c r="K703" s="18" t="s">
        <v>17</v>
      </c>
      <c r="L703" s="9"/>
      <c r="M703" s="9"/>
    </row>
    <row r="704" spans="1:13" ht="25" hidden="1">
      <c r="A704" s="18" t="s">
        <v>555</v>
      </c>
      <c r="B704" s="19" t="str">
        <f>INDEX(메뉴구조!$B$5:$B$300,MATCH($A704,메뉴구조!$A$5:$A$300,0))&amp;""</f>
        <v>알림</v>
      </c>
      <c r="C704" s="19" t="str">
        <f>INDEX(메뉴구조!$C$5:$C$300,MATCH($A704,메뉴구조!$A$5:$A$300,0))&amp;""</f>
        <v>거래·자산</v>
      </c>
      <c r="D704" s="19" t="str">
        <f>INDEX(메뉴구조!$D$5:$D$300,MATCH($A704,메뉴구조!$A$5:$A$300,0))&amp;""</f>
        <v>—</v>
      </c>
      <c r="E704" s="19" t="str">
        <f>INDEX(메뉴구조!$E$5:$E$300,MATCH($A704,메뉴구조!$A$5:$A$300,0))&amp;""</f>
        <v>—</v>
      </c>
      <c r="F704" s="9" t="str">
        <f>INDEX(메뉴구조!$G$5:$G$300,MATCH($A704,메뉴구조!$A$5:$A$300,0))&amp;""</f>
        <v>알림 / 거래·자산</v>
      </c>
      <c r="G704" s="18">
        <v>3</v>
      </c>
      <c r="H704" s="9" t="s">
        <v>2176</v>
      </c>
      <c r="I704" s="9" t="s">
        <v>2185</v>
      </c>
      <c r="J704" s="9"/>
      <c r="K704" s="18" t="s">
        <v>17</v>
      </c>
      <c r="L704" s="9"/>
      <c r="M704" s="9"/>
    </row>
    <row r="705" spans="1:13" ht="50" hidden="1">
      <c r="A705" s="18" t="s">
        <v>555</v>
      </c>
      <c r="B705" s="19" t="str">
        <f>INDEX(메뉴구조!$B$5:$B$300,MATCH($A705,메뉴구조!$A$5:$A$300,0))&amp;""</f>
        <v>알림</v>
      </c>
      <c r="C705" s="19" t="str">
        <f>INDEX(메뉴구조!$C$5:$C$300,MATCH($A705,메뉴구조!$A$5:$A$300,0))&amp;""</f>
        <v>거래·자산</v>
      </c>
      <c r="D705" s="19" t="str">
        <f>INDEX(메뉴구조!$D$5:$D$300,MATCH($A705,메뉴구조!$A$5:$A$300,0))&amp;""</f>
        <v>—</v>
      </c>
      <c r="E705" s="19" t="str">
        <f>INDEX(메뉴구조!$E$5:$E$300,MATCH($A705,메뉴구조!$A$5:$A$300,0))&amp;""</f>
        <v>—</v>
      </c>
      <c r="F705" s="9" t="str">
        <f>INDEX(메뉴구조!$G$5:$G$300,MATCH($A705,메뉴구조!$A$5:$A$300,0))&amp;""</f>
        <v>알림 / 거래·자산</v>
      </c>
      <c r="G705" s="18">
        <v>4</v>
      </c>
      <c r="H705" s="31" t="s">
        <v>2186</v>
      </c>
      <c r="I705" s="31" t="s">
        <v>2187</v>
      </c>
      <c r="J705" s="9"/>
      <c r="K705" s="20" t="s">
        <v>9</v>
      </c>
      <c r="L705" s="9" t="s">
        <v>2180</v>
      </c>
      <c r="M705" s="9" t="s">
        <v>2188</v>
      </c>
    </row>
    <row r="706" spans="1:13" hidden="1">
      <c r="A706" s="18" t="s">
        <v>555</v>
      </c>
      <c r="B706" s="19" t="str">
        <f>INDEX(메뉴구조!$B$5:$B$300,MATCH($A706,메뉴구조!$A$5:$A$300,0))&amp;""</f>
        <v>알림</v>
      </c>
      <c r="C706" s="19" t="str">
        <f>INDEX(메뉴구조!$C$5:$C$300,MATCH($A706,메뉴구조!$A$5:$A$300,0))&amp;""</f>
        <v>거래·자산</v>
      </c>
      <c r="D706" s="19" t="str">
        <f>INDEX(메뉴구조!$D$5:$D$300,MATCH($A706,메뉴구조!$A$5:$A$300,0))&amp;""</f>
        <v>—</v>
      </c>
      <c r="E706" s="19" t="str">
        <f>INDEX(메뉴구조!$E$5:$E$300,MATCH($A706,메뉴구조!$A$5:$A$300,0))&amp;""</f>
        <v>—</v>
      </c>
      <c r="F706" s="9" t="str">
        <f>INDEX(메뉴구조!$G$5:$G$300,MATCH($A706,메뉴구조!$A$5:$A$300,0))&amp;""</f>
        <v>알림 / 거래·자산</v>
      </c>
      <c r="G706" s="18">
        <v>5</v>
      </c>
      <c r="H706" s="9" t="s">
        <v>775</v>
      </c>
      <c r="I706" s="9" t="s">
        <v>2182</v>
      </c>
      <c r="J706" s="9"/>
      <c r="K706" s="18" t="s">
        <v>17</v>
      </c>
      <c r="L706" s="9"/>
      <c r="M706" s="9"/>
    </row>
    <row r="707" spans="1:13" ht="50" hidden="1">
      <c r="A707" s="18" t="s">
        <v>557</v>
      </c>
      <c r="B707" s="19" t="str">
        <f>INDEX(메뉴구조!$B$5:$B$300,MATCH($A707,메뉴구조!$A$5:$A$300,0))&amp;""</f>
        <v>검색</v>
      </c>
      <c r="C707" s="19" t="str">
        <f>INDEX(메뉴구조!$C$5:$C$300,MATCH($A707,메뉴구조!$A$5:$A$300,0))&amp;""</f>
        <v>검색 홈</v>
      </c>
      <c r="D707" s="19" t="str">
        <f>INDEX(메뉴구조!$D$5:$D$300,MATCH($A707,메뉴구조!$A$5:$A$300,0))&amp;""</f>
        <v>—</v>
      </c>
      <c r="E707" s="19" t="str">
        <f>INDEX(메뉴구조!$E$5:$E$300,MATCH($A707,메뉴구조!$A$5:$A$300,0))&amp;""</f>
        <v>—</v>
      </c>
      <c r="F707" s="9" t="str">
        <f>INDEX(메뉴구조!$G$5:$G$300,MATCH($A707,메뉴구조!$A$5:$A$300,0))&amp;""</f>
        <v>검색 / 검색 홈</v>
      </c>
      <c r="G707" s="18">
        <v>1</v>
      </c>
      <c r="H707" s="32" t="s">
        <v>2189</v>
      </c>
      <c r="I707" s="32" t="s">
        <v>2190</v>
      </c>
      <c r="J707" s="32"/>
      <c r="K707" s="23" t="s">
        <v>7</v>
      </c>
      <c r="L707" s="9" t="s">
        <v>844</v>
      </c>
      <c r="M707" s="9"/>
    </row>
    <row r="708" spans="1:13" ht="37.5" hidden="1">
      <c r="A708" s="18" t="s">
        <v>557</v>
      </c>
      <c r="B708" s="19" t="str">
        <f>INDEX(메뉴구조!$B$5:$B$300,MATCH($A708,메뉴구조!$A$5:$A$300,0))&amp;""</f>
        <v>검색</v>
      </c>
      <c r="C708" s="19" t="str">
        <f>INDEX(메뉴구조!$C$5:$C$300,MATCH($A708,메뉴구조!$A$5:$A$300,0))&amp;""</f>
        <v>검색 홈</v>
      </c>
      <c r="D708" s="19" t="str">
        <f>INDEX(메뉴구조!$D$5:$D$300,MATCH($A708,메뉴구조!$A$5:$A$300,0))&amp;""</f>
        <v>—</v>
      </c>
      <c r="E708" s="19" t="str">
        <f>INDEX(메뉴구조!$E$5:$E$300,MATCH($A708,메뉴구조!$A$5:$A$300,0))&amp;""</f>
        <v>—</v>
      </c>
      <c r="F708" s="9" t="str">
        <f>INDEX(메뉴구조!$G$5:$G$300,MATCH($A708,메뉴구조!$A$5:$A$300,0))&amp;""</f>
        <v>검색 / 검색 홈</v>
      </c>
      <c r="G708" s="18">
        <v>2</v>
      </c>
      <c r="H708" s="32" t="s">
        <v>2191</v>
      </c>
      <c r="I708" s="32" t="s">
        <v>2192</v>
      </c>
      <c r="J708" s="32"/>
      <c r="K708" s="23" t="s">
        <v>7</v>
      </c>
      <c r="L708" s="9" t="s">
        <v>844</v>
      </c>
      <c r="M708" s="9"/>
    </row>
    <row r="709" spans="1:13" ht="37.5" hidden="1">
      <c r="A709" s="18" t="s">
        <v>557</v>
      </c>
      <c r="B709" s="19" t="str">
        <f>INDEX(메뉴구조!$B$5:$B$300,MATCH($A709,메뉴구조!$A$5:$A$300,0))&amp;""</f>
        <v>검색</v>
      </c>
      <c r="C709" s="19" t="str">
        <f>INDEX(메뉴구조!$C$5:$C$300,MATCH($A709,메뉴구조!$A$5:$A$300,0))&amp;""</f>
        <v>검색 홈</v>
      </c>
      <c r="D709" s="19" t="str">
        <f>INDEX(메뉴구조!$D$5:$D$300,MATCH($A709,메뉴구조!$A$5:$A$300,0))&amp;""</f>
        <v>—</v>
      </c>
      <c r="E709" s="19" t="str">
        <f>INDEX(메뉴구조!$E$5:$E$300,MATCH($A709,메뉴구조!$A$5:$A$300,0))&amp;""</f>
        <v>—</v>
      </c>
      <c r="F709" s="9" t="str">
        <f>INDEX(메뉴구조!$G$5:$G$300,MATCH($A709,메뉴구조!$A$5:$A$300,0))&amp;""</f>
        <v>검색 / 검색 홈</v>
      </c>
      <c r="G709" s="18">
        <v>3</v>
      </c>
      <c r="H709" s="32" t="s">
        <v>2193</v>
      </c>
      <c r="I709" s="32" t="s">
        <v>2194</v>
      </c>
      <c r="J709" s="32"/>
      <c r="K709" s="23" t="s">
        <v>7</v>
      </c>
      <c r="L709" s="9" t="s">
        <v>844</v>
      </c>
      <c r="M709" s="9"/>
    </row>
    <row r="710" spans="1:13" ht="50" hidden="1">
      <c r="A710" s="18" t="s">
        <v>557</v>
      </c>
      <c r="B710" s="19" t="str">
        <f>INDEX(메뉴구조!$B$5:$B$300,MATCH($A710,메뉴구조!$A$5:$A$300,0))&amp;""</f>
        <v>검색</v>
      </c>
      <c r="C710" s="19" t="str">
        <f>INDEX(메뉴구조!$C$5:$C$300,MATCH($A710,메뉴구조!$A$5:$A$300,0))&amp;""</f>
        <v>검색 홈</v>
      </c>
      <c r="D710" s="19" t="str">
        <f>INDEX(메뉴구조!$D$5:$D$300,MATCH($A710,메뉴구조!$A$5:$A$300,0))&amp;""</f>
        <v>—</v>
      </c>
      <c r="E710" s="19" t="str">
        <f>INDEX(메뉴구조!$E$5:$E$300,MATCH($A710,메뉴구조!$A$5:$A$300,0))&amp;""</f>
        <v>—</v>
      </c>
      <c r="F710" s="9" t="str">
        <f>INDEX(메뉴구조!$G$5:$G$300,MATCH($A710,메뉴구조!$A$5:$A$300,0))&amp;""</f>
        <v>검색 / 검색 홈</v>
      </c>
      <c r="G710" s="18">
        <v>4</v>
      </c>
      <c r="H710" s="32" t="s">
        <v>2195</v>
      </c>
      <c r="I710" s="32" t="s">
        <v>2196</v>
      </c>
      <c r="J710" s="32"/>
      <c r="K710" s="23" t="s">
        <v>7</v>
      </c>
      <c r="L710" s="9" t="s">
        <v>844</v>
      </c>
      <c r="M710" s="9"/>
    </row>
    <row r="711" spans="1:13" ht="50" hidden="1">
      <c r="A711" s="18" t="s">
        <v>563</v>
      </c>
      <c r="B711" s="19" t="str">
        <f>INDEX(메뉴구조!$B$5:$B$300,MATCH($A711,메뉴구조!$A$5:$A$300,0))&amp;""</f>
        <v>검색</v>
      </c>
      <c r="C711" s="19" t="str">
        <f>INDEX(메뉴구조!$C$5:$C$300,MATCH($A711,메뉴구조!$A$5:$A$300,0))&amp;""</f>
        <v>검색 결과</v>
      </c>
      <c r="D711" s="19" t="str">
        <f>INDEX(메뉴구조!$D$5:$D$300,MATCH($A711,메뉴구조!$A$5:$A$300,0))&amp;""</f>
        <v>—</v>
      </c>
      <c r="E711" s="19" t="str">
        <f>INDEX(메뉴구조!$E$5:$E$300,MATCH($A711,메뉴구조!$A$5:$A$300,0))&amp;""</f>
        <v>—</v>
      </c>
      <c r="F711" s="9" t="str">
        <f>INDEX(메뉴구조!$G$5:$G$300,MATCH($A711,메뉴구조!$A$5:$A$300,0))&amp;""</f>
        <v>검색 / 검색 결과</v>
      </c>
      <c r="G711" s="18">
        <v>1</v>
      </c>
      <c r="H711" s="32" t="s">
        <v>2197</v>
      </c>
      <c r="I711" s="32" t="s">
        <v>2198</v>
      </c>
      <c r="J711" s="32"/>
      <c r="K711" s="23" t="s">
        <v>7</v>
      </c>
      <c r="L711" s="9" t="s">
        <v>844</v>
      </c>
      <c r="M711" s="9"/>
    </row>
    <row r="712" spans="1:13" ht="62.5" hidden="1">
      <c r="A712" s="18" t="s">
        <v>563</v>
      </c>
      <c r="B712" s="19" t="str">
        <f>INDEX(메뉴구조!$B$5:$B$300,MATCH($A712,메뉴구조!$A$5:$A$300,0))&amp;""</f>
        <v>검색</v>
      </c>
      <c r="C712" s="19" t="str">
        <f>INDEX(메뉴구조!$C$5:$C$300,MATCH($A712,메뉴구조!$A$5:$A$300,0))&amp;""</f>
        <v>검색 결과</v>
      </c>
      <c r="D712" s="19" t="str">
        <f>INDEX(메뉴구조!$D$5:$D$300,MATCH($A712,메뉴구조!$A$5:$A$300,0))&amp;""</f>
        <v>—</v>
      </c>
      <c r="E712" s="19" t="str">
        <f>INDEX(메뉴구조!$E$5:$E$300,MATCH($A712,메뉴구조!$A$5:$A$300,0))&amp;""</f>
        <v>—</v>
      </c>
      <c r="F712" s="9" t="str">
        <f>INDEX(메뉴구조!$G$5:$G$300,MATCH($A712,메뉴구조!$A$5:$A$300,0))&amp;""</f>
        <v>검색 / 검색 결과</v>
      </c>
      <c r="G712" s="18">
        <v>2</v>
      </c>
      <c r="H712" s="32" t="s">
        <v>2199</v>
      </c>
      <c r="I712" s="32" t="s">
        <v>2200</v>
      </c>
      <c r="J712" s="32"/>
      <c r="K712" s="23" t="s">
        <v>7</v>
      </c>
      <c r="L712" s="9" t="s">
        <v>844</v>
      </c>
      <c r="M712" s="9"/>
    </row>
    <row r="713" spans="1:13" ht="37.5" hidden="1">
      <c r="A713" s="18" t="s">
        <v>563</v>
      </c>
      <c r="B713" s="19" t="str">
        <f>INDEX(메뉴구조!$B$5:$B$300,MATCH($A713,메뉴구조!$A$5:$A$300,0))&amp;""</f>
        <v>검색</v>
      </c>
      <c r="C713" s="19" t="str">
        <f>INDEX(메뉴구조!$C$5:$C$300,MATCH($A713,메뉴구조!$A$5:$A$300,0))&amp;""</f>
        <v>검색 결과</v>
      </c>
      <c r="D713" s="19" t="str">
        <f>INDEX(메뉴구조!$D$5:$D$300,MATCH($A713,메뉴구조!$A$5:$A$300,0))&amp;""</f>
        <v>—</v>
      </c>
      <c r="E713" s="19" t="str">
        <f>INDEX(메뉴구조!$E$5:$E$300,MATCH($A713,메뉴구조!$A$5:$A$300,0))&amp;""</f>
        <v>—</v>
      </c>
      <c r="F713" s="9" t="str">
        <f>INDEX(메뉴구조!$G$5:$G$300,MATCH($A713,메뉴구조!$A$5:$A$300,0))&amp;""</f>
        <v>검색 / 검색 결과</v>
      </c>
      <c r="G713" s="18">
        <v>3</v>
      </c>
      <c r="H713" s="32" t="s">
        <v>2201</v>
      </c>
      <c r="I713" s="32" t="s">
        <v>2202</v>
      </c>
      <c r="J713" s="32"/>
      <c r="K713" s="23" t="s">
        <v>7</v>
      </c>
      <c r="L713" s="9" t="s">
        <v>844</v>
      </c>
      <c r="M713" s="9"/>
    </row>
    <row r="714" spans="1:13" ht="75" hidden="1">
      <c r="A714" s="18" t="s">
        <v>563</v>
      </c>
      <c r="B714" s="19" t="str">
        <f>INDEX(메뉴구조!$B$5:$B$300,MATCH($A714,메뉴구조!$A$5:$A$300,0))&amp;""</f>
        <v>검색</v>
      </c>
      <c r="C714" s="19" t="str">
        <f>INDEX(메뉴구조!$C$5:$C$300,MATCH($A714,메뉴구조!$A$5:$A$300,0))&amp;""</f>
        <v>검색 결과</v>
      </c>
      <c r="D714" s="19" t="str">
        <f>INDEX(메뉴구조!$D$5:$D$300,MATCH($A714,메뉴구조!$A$5:$A$300,0))&amp;""</f>
        <v>—</v>
      </c>
      <c r="E714" s="19" t="str">
        <f>INDEX(메뉴구조!$E$5:$E$300,MATCH($A714,메뉴구조!$A$5:$A$300,0))&amp;""</f>
        <v>—</v>
      </c>
      <c r="F714" s="9" t="str">
        <f>INDEX(메뉴구조!$G$5:$G$300,MATCH($A714,메뉴구조!$A$5:$A$300,0))&amp;""</f>
        <v>검색 / 검색 결과</v>
      </c>
      <c r="G714" s="18">
        <v>4</v>
      </c>
      <c r="H714" s="32" t="s">
        <v>2203</v>
      </c>
      <c r="I714" s="32" t="s">
        <v>2204</v>
      </c>
      <c r="J714" s="32"/>
      <c r="K714" s="23" t="s">
        <v>7</v>
      </c>
      <c r="L714" s="9" t="s">
        <v>844</v>
      </c>
      <c r="M714" s="9"/>
    </row>
  </sheetData>
  <autoFilter ref="A3:M714" xr:uid="{00000000-0009-0000-0000-000002000000}">
    <filterColumn colId="1">
      <filters>
        <filter val="MY"/>
      </filters>
    </filterColumn>
  </autoFilter>
  <mergeCells count="2">
    <mergeCell ref="A1:M1"/>
    <mergeCell ref="A2:M2"/>
  </mergeCells>
  <phoneticPr fontId="8" type="noConversion"/>
  <conditionalFormatting sqref="K4:K714">
    <cfRule type="expression" dxfId="4" priority="2">
      <formula>$K4="신규"</formula>
    </cfRule>
    <cfRule type="expression" dxfId="3" priority="3">
      <formula>$K4="수정"</formula>
    </cfRule>
    <cfRule type="expression" dxfId="2" priority="4">
      <formula>$K4="이동"</formula>
    </cfRule>
    <cfRule type="expression" dxfId="1" priority="5">
      <formula>$K4="명칭변경"</formula>
    </cfRule>
    <cfRule type="expression" dxfId="0" priority="6">
      <formula>$K4="삭제"</formula>
    </cfRule>
  </conditionalFormatting>
  <dataValidations count="1">
    <dataValidation type="list" sqref="K4:K714" xr:uid="{00000000-0002-0000-0200-000000000000}">
      <formula1>"유지,수정,이동,명칭변경,삭제,신규"</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workbookViewId="0">
      <pane ySplit="3" topLeftCell="A4" activePane="bottomLeft" state="frozen"/>
      <selection pane="bottomLeft"/>
    </sheetView>
  </sheetViews>
  <sheetFormatPr defaultColWidth="8.6328125" defaultRowHeight="14.5"/>
  <cols>
    <col min="1" max="1" width="8" customWidth="1"/>
    <col min="2" max="2" width="22" customWidth="1"/>
    <col min="3" max="3" width="110" customWidth="1"/>
    <col min="4" max="4" width="44" customWidth="1"/>
  </cols>
  <sheetData>
    <row r="1" spans="1:4" ht="16.5">
      <c r="A1" s="1" t="s">
        <v>2205</v>
      </c>
      <c r="B1" s="1"/>
      <c r="C1" s="1"/>
      <c r="D1" s="1"/>
    </row>
    <row r="3" spans="1:4" ht="30" customHeight="1">
      <c r="A3" s="7" t="s">
        <v>2206</v>
      </c>
      <c r="B3" s="7" t="s">
        <v>2207</v>
      </c>
      <c r="C3" s="7" t="s">
        <v>2208</v>
      </c>
      <c r="D3" s="7" t="s">
        <v>2209</v>
      </c>
    </row>
    <row r="4" spans="1:4" ht="50">
      <c r="A4" s="8" t="s">
        <v>2210</v>
      </c>
      <c r="B4" s="9" t="s">
        <v>2211</v>
      </c>
      <c r="C4" s="9" t="s">
        <v>2212</v>
      </c>
      <c r="D4" s="9" t="s">
        <v>2213</v>
      </c>
    </row>
    <row r="5" spans="1:4" ht="50">
      <c r="A5" s="8" t="s">
        <v>2214</v>
      </c>
      <c r="B5" s="9" t="s">
        <v>2215</v>
      </c>
      <c r="C5" s="9" t="s">
        <v>2216</v>
      </c>
      <c r="D5" s="9" t="s">
        <v>2217</v>
      </c>
    </row>
    <row r="6" spans="1:4" ht="25">
      <c r="A6" s="8" t="s">
        <v>2218</v>
      </c>
      <c r="B6" s="9" t="s">
        <v>2219</v>
      </c>
      <c r="C6" s="9" t="s">
        <v>2220</v>
      </c>
      <c r="D6" s="9" t="s">
        <v>2221</v>
      </c>
    </row>
    <row r="7" spans="1:4" ht="25">
      <c r="A7" s="8" t="s">
        <v>2222</v>
      </c>
      <c r="B7" s="9" t="s">
        <v>1281</v>
      </c>
      <c r="C7" s="9" t="s">
        <v>2223</v>
      </c>
      <c r="D7" s="9" t="s">
        <v>2224</v>
      </c>
    </row>
    <row r="8" spans="1:4" ht="37.5">
      <c r="A8" s="8" t="s">
        <v>2225</v>
      </c>
      <c r="B8" s="9" t="s">
        <v>2226</v>
      </c>
      <c r="C8" s="9" t="s">
        <v>2227</v>
      </c>
      <c r="D8" s="9" t="s">
        <v>2228</v>
      </c>
    </row>
    <row r="9" spans="1:4" ht="25">
      <c r="A9" s="8" t="s">
        <v>2229</v>
      </c>
      <c r="B9" s="9" t="s">
        <v>2230</v>
      </c>
      <c r="C9" s="9" t="s">
        <v>2231</v>
      </c>
      <c r="D9" s="9" t="s">
        <v>2232</v>
      </c>
    </row>
    <row r="10" spans="1:4" ht="25">
      <c r="A10" s="8" t="s">
        <v>2233</v>
      </c>
      <c r="B10" s="9" t="s">
        <v>736</v>
      </c>
      <c r="C10" s="9" t="s">
        <v>2234</v>
      </c>
      <c r="D10" s="9" t="s">
        <v>2235</v>
      </c>
    </row>
    <row r="11" spans="1:4" ht="25">
      <c r="A11" s="8" t="s">
        <v>2236</v>
      </c>
      <c r="B11" s="9" t="s">
        <v>2237</v>
      </c>
      <c r="C11" s="9" t="s">
        <v>2238</v>
      </c>
      <c r="D11" s="9" t="s">
        <v>2239</v>
      </c>
    </row>
    <row r="12" spans="1:4" ht="37.5">
      <c r="A12" s="8" t="s">
        <v>2240</v>
      </c>
      <c r="B12" s="9" t="s">
        <v>2241</v>
      </c>
      <c r="C12" s="9" t="s">
        <v>2242</v>
      </c>
      <c r="D12" s="9" t="s">
        <v>2243</v>
      </c>
    </row>
    <row r="13" spans="1:4" ht="25">
      <c r="A13" s="8" t="s">
        <v>2244</v>
      </c>
      <c r="B13" s="9" t="s">
        <v>2245</v>
      </c>
      <c r="C13" s="9" t="s">
        <v>2246</v>
      </c>
      <c r="D13" s="9" t="s">
        <v>2247</v>
      </c>
    </row>
    <row r="14" spans="1:4" ht="37.5">
      <c r="A14" s="8" t="s">
        <v>2248</v>
      </c>
      <c r="B14" s="9" t="s">
        <v>2249</v>
      </c>
      <c r="C14" s="9" t="s">
        <v>2250</v>
      </c>
      <c r="D14" s="9" t="s">
        <v>2251</v>
      </c>
    </row>
    <row r="15" spans="1:4" ht="25">
      <c r="A15" s="8" t="s">
        <v>2252</v>
      </c>
      <c r="B15" s="9" t="s">
        <v>2253</v>
      </c>
      <c r="C15" s="9" t="s">
        <v>2254</v>
      </c>
      <c r="D15" s="9" t="s">
        <v>2255</v>
      </c>
    </row>
  </sheetData>
  <mergeCells count="1">
    <mergeCell ref="A1:D1"/>
  </mergeCells>
  <phoneticPr fontId="8"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tabSelected="1" zoomScaleNormal="100" workbookViewId="0">
      <selection activeCell="L13" sqref="L13"/>
    </sheetView>
  </sheetViews>
  <sheetFormatPr defaultColWidth="8.6328125" defaultRowHeight="14.5"/>
  <cols>
    <col min="1" max="1" width="9" customWidth="1"/>
    <col min="2" max="2" width="28" customWidth="1"/>
    <col min="3" max="3" width="100" customWidth="1"/>
    <col min="4" max="4" width="18" customWidth="1"/>
  </cols>
  <sheetData>
    <row r="1" spans="1:4" ht="16.5">
      <c r="A1" s="1" t="s">
        <v>2256</v>
      </c>
      <c r="B1" s="1"/>
      <c r="C1" s="1"/>
      <c r="D1" s="1"/>
    </row>
    <row r="2" spans="1:4">
      <c r="A2" s="5" t="s">
        <v>2257</v>
      </c>
      <c r="B2" s="5"/>
      <c r="C2" s="5"/>
      <c r="D2" s="5"/>
    </row>
    <row r="3" spans="1:4" ht="30" customHeight="1">
      <c r="A3" s="7" t="s">
        <v>2258</v>
      </c>
      <c r="B3" s="7" t="s">
        <v>2259</v>
      </c>
      <c r="C3" s="7" t="s">
        <v>2260</v>
      </c>
      <c r="D3" s="7" t="s">
        <v>2261</v>
      </c>
    </row>
    <row r="4" spans="1:4">
      <c r="A4" s="8" t="s">
        <v>2262</v>
      </c>
      <c r="B4" s="9" t="s">
        <v>2263</v>
      </c>
      <c r="C4" s="9" t="s">
        <v>2264</v>
      </c>
      <c r="D4" s="9" t="s">
        <v>2265</v>
      </c>
    </row>
    <row r="5" spans="1:4" ht="25">
      <c r="A5" s="8" t="s">
        <v>2266</v>
      </c>
      <c r="B5" s="9" t="s">
        <v>2267</v>
      </c>
      <c r="C5" s="9" t="s">
        <v>2268</v>
      </c>
      <c r="D5" s="9" t="s">
        <v>2269</v>
      </c>
    </row>
    <row r="6" spans="1:4" ht="25">
      <c r="A6" s="8" t="s">
        <v>2270</v>
      </c>
      <c r="B6" s="9" t="s">
        <v>2271</v>
      </c>
      <c r="C6" s="9" t="s">
        <v>2272</v>
      </c>
      <c r="D6" s="9" t="s">
        <v>2265</v>
      </c>
    </row>
    <row r="7" spans="1:4" ht="25">
      <c r="A7" s="8" t="s">
        <v>2273</v>
      </c>
      <c r="B7" s="9" t="s">
        <v>2274</v>
      </c>
      <c r="C7" s="9" t="s">
        <v>2275</v>
      </c>
      <c r="D7" s="9" t="s">
        <v>2276</v>
      </c>
    </row>
    <row r="8" spans="1:4">
      <c r="A8" s="8" t="s">
        <v>2277</v>
      </c>
      <c r="B8" s="9" t="s">
        <v>2278</v>
      </c>
      <c r="C8" s="9" t="s">
        <v>2279</v>
      </c>
      <c r="D8" s="9" t="s">
        <v>2280</v>
      </c>
    </row>
    <row r="9" spans="1:4">
      <c r="A9" s="8" t="s">
        <v>2281</v>
      </c>
      <c r="B9" s="9" t="s">
        <v>2282</v>
      </c>
      <c r="C9" s="9" t="s">
        <v>2283</v>
      </c>
      <c r="D9" s="9" t="s">
        <v>2265</v>
      </c>
    </row>
    <row r="10" spans="1:4" ht="25">
      <c r="A10" s="8" t="s">
        <v>2284</v>
      </c>
      <c r="B10" s="9" t="s">
        <v>2285</v>
      </c>
      <c r="C10" s="9" t="s">
        <v>2286</v>
      </c>
      <c r="D10" s="9" t="s">
        <v>2287</v>
      </c>
    </row>
    <row r="11" spans="1:4">
      <c r="A11" s="8" t="s">
        <v>2288</v>
      </c>
      <c r="B11" s="9" t="s">
        <v>2289</v>
      </c>
      <c r="C11" s="9" t="s">
        <v>2290</v>
      </c>
      <c r="D11" s="9" t="s">
        <v>2265</v>
      </c>
    </row>
    <row r="12" spans="1:4" ht="25">
      <c r="A12" s="8" t="s">
        <v>2291</v>
      </c>
      <c r="B12" s="9" t="s">
        <v>2292</v>
      </c>
      <c r="C12" s="9" t="s">
        <v>2293</v>
      </c>
      <c r="D12" s="9" t="s">
        <v>2265</v>
      </c>
    </row>
    <row r="13" spans="1:4" ht="25">
      <c r="A13" s="8" t="s">
        <v>2294</v>
      </c>
      <c r="B13" s="9" t="s">
        <v>2295</v>
      </c>
      <c r="C13" s="9" t="s">
        <v>2296</v>
      </c>
      <c r="D13" s="9" t="s">
        <v>2297</v>
      </c>
    </row>
    <row r="14" spans="1:4" ht="25">
      <c r="A14" s="8" t="s">
        <v>2298</v>
      </c>
      <c r="B14" s="9" t="s">
        <v>2299</v>
      </c>
      <c r="C14" s="9" t="s">
        <v>2300</v>
      </c>
      <c r="D14" s="9" t="s">
        <v>2301</v>
      </c>
    </row>
    <row r="15" spans="1:4">
      <c r="A15" s="8" t="s">
        <v>2302</v>
      </c>
      <c r="B15" s="9" t="s">
        <v>2303</v>
      </c>
      <c r="C15" s="9" t="s">
        <v>2304</v>
      </c>
      <c r="D15" s="9" t="s">
        <v>2265</v>
      </c>
    </row>
    <row r="16" spans="1:4" ht="25">
      <c r="A16" s="8" t="s">
        <v>2305</v>
      </c>
      <c r="B16" s="9" t="s">
        <v>2306</v>
      </c>
      <c r="C16" s="9" t="s">
        <v>2307</v>
      </c>
      <c r="D16" s="9" t="s">
        <v>2287</v>
      </c>
    </row>
    <row r="17" spans="1:4" ht="25">
      <c r="A17" s="8" t="s">
        <v>2308</v>
      </c>
      <c r="B17" s="9" t="s">
        <v>2309</v>
      </c>
      <c r="C17" s="9" t="s">
        <v>2310</v>
      </c>
      <c r="D17" s="9" t="s">
        <v>2265</v>
      </c>
    </row>
  </sheetData>
  <mergeCells count="2">
    <mergeCell ref="A1:D1"/>
    <mergeCell ref="A2:D2"/>
  </mergeCells>
  <phoneticPr fontId="8"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9"/>
  <sheetViews>
    <sheetView zoomScaleNormal="100" workbookViewId="0">
      <pane ySplit="3" topLeftCell="A4" activePane="bottomLeft" state="frozen"/>
      <selection pane="bottomLeft" sqref="A1:B1"/>
    </sheetView>
  </sheetViews>
  <sheetFormatPr defaultColWidth="8.6328125" defaultRowHeight="14.5"/>
  <cols>
    <col min="1" max="1" width="26" customWidth="1"/>
    <col min="2" max="2" width="130" customWidth="1"/>
  </cols>
  <sheetData>
    <row r="1" spans="1:2" ht="16.5">
      <c r="A1" s="1" t="s">
        <v>2311</v>
      </c>
      <c r="B1" s="1"/>
    </row>
    <row r="2" spans="1:2">
      <c r="A2" s="5" t="s">
        <v>2312</v>
      </c>
      <c r="B2" s="5"/>
    </row>
    <row r="3" spans="1:2" ht="30" customHeight="1">
      <c r="A3" s="7" t="s">
        <v>2313</v>
      </c>
      <c r="B3" s="7" t="s">
        <v>2314</v>
      </c>
    </row>
    <row r="4" spans="1:2" ht="100">
      <c r="A4" s="16" t="s">
        <v>2315</v>
      </c>
      <c r="B4" s="9" t="s">
        <v>2316</v>
      </c>
    </row>
    <row r="5" spans="1:2">
      <c r="A5" s="16" t="s">
        <v>2317</v>
      </c>
      <c r="B5" s="9" t="s">
        <v>2318</v>
      </c>
    </row>
    <row r="6" spans="1:2" ht="37.5">
      <c r="A6" s="16"/>
      <c r="B6" s="9" t="s">
        <v>2319</v>
      </c>
    </row>
    <row r="7" spans="1:2" ht="87.5">
      <c r="A7" s="16"/>
      <c r="B7" s="9" t="s">
        <v>2320</v>
      </c>
    </row>
    <row r="8" spans="1:2" ht="37.5">
      <c r="A8" s="16"/>
      <c r="B8" s="9" t="s">
        <v>2321</v>
      </c>
    </row>
    <row r="9" spans="1:2" ht="125">
      <c r="A9" s="16"/>
      <c r="B9" s="9" t="s">
        <v>2322</v>
      </c>
    </row>
    <row r="10" spans="1:2" ht="25">
      <c r="A10" s="16"/>
      <c r="B10" s="9" t="s">
        <v>2323</v>
      </c>
    </row>
    <row r="11" spans="1:2" ht="26">
      <c r="A11" s="16" t="s">
        <v>2324</v>
      </c>
      <c r="B11" s="9" t="s">
        <v>2325</v>
      </c>
    </row>
    <row r="12" spans="1:2" ht="125">
      <c r="A12" s="16"/>
      <c r="B12" s="9" t="s">
        <v>2326</v>
      </c>
    </row>
    <row r="13" spans="1:2" ht="75">
      <c r="A13" s="16"/>
      <c r="B13" s="9" t="s">
        <v>2327</v>
      </c>
    </row>
    <row r="14" spans="1:2" ht="26">
      <c r="A14" s="16" t="s">
        <v>2328</v>
      </c>
      <c r="B14" s="9" t="s">
        <v>2329</v>
      </c>
    </row>
    <row r="15" spans="1:2" ht="87.5">
      <c r="A15" s="16"/>
      <c r="B15" s="9" t="s">
        <v>2330</v>
      </c>
    </row>
    <row r="16" spans="1:2" ht="137.5">
      <c r="A16" s="16" t="s">
        <v>2331</v>
      </c>
      <c r="B16" s="9" t="s">
        <v>2332</v>
      </c>
    </row>
    <row r="17" spans="1:2">
      <c r="A17" s="16" t="s">
        <v>2333</v>
      </c>
      <c r="B17" s="9" t="s">
        <v>2334</v>
      </c>
    </row>
    <row r="18" spans="1:2" ht="100">
      <c r="A18" s="16"/>
      <c r="B18" s="9" t="s">
        <v>2335</v>
      </c>
    </row>
    <row r="19" spans="1:2" ht="26">
      <c r="A19" s="16" t="s">
        <v>2336</v>
      </c>
      <c r="B19" s="9" t="s">
        <v>2337</v>
      </c>
    </row>
    <row r="20" spans="1:2" ht="87.5">
      <c r="A20" s="16"/>
      <c r="B20" s="9" t="s">
        <v>2338</v>
      </c>
    </row>
    <row r="21" spans="1:2" ht="137.5">
      <c r="A21" s="16" t="s">
        <v>2339</v>
      </c>
      <c r="B21" s="9" t="s">
        <v>2340</v>
      </c>
    </row>
    <row r="22" spans="1:2">
      <c r="A22" s="16" t="s">
        <v>2341</v>
      </c>
      <c r="B22" s="9" t="s">
        <v>2342</v>
      </c>
    </row>
    <row r="23" spans="1:2" ht="125">
      <c r="A23" s="16"/>
      <c r="B23" s="9" t="s">
        <v>2343</v>
      </c>
    </row>
    <row r="24" spans="1:2" ht="26">
      <c r="A24" s="16" t="s">
        <v>2344</v>
      </c>
      <c r="B24" s="9" t="s">
        <v>2345</v>
      </c>
    </row>
    <row r="25" spans="1:2" ht="100">
      <c r="A25" s="16"/>
      <c r="B25" s="9" t="s">
        <v>2346</v>
      </c>
    </row>
    <row r="26" spans="1:2" ht="26">
      <c r="A26" s="16" t="s">
        <v>2347</v>
      </c>
      <c r="B26" s="9" t="s">
        <v>2348</v>
      </c>
    </row>
    <row r="27" spans="1:2" ht="162.5">
      <c r="A27" s="16"/>
      <c r="B27" s="9" t="s">
        <v>2349</v>
      </c>
    </row>
    <row r="28" spans="1:2" ht="26">
      <c r="A28" s="16" t="s">
        <v>2350</v>
      </c>
      <c r="B28" s="9" t="s">
        <v>2348</v>
      </c>
    </row>
    <row r="29" spans="1:2" ht="100">
      <c r="A29" s="16"/>
      <c r="B29" s="9" t="s">
        <v>2351</v>
      </c>
    </row>
  </sheetData>
  <mergeCells count="2">
    <mergeCell ref="A1:B1"/>
    <mergeCell ref="A2:B2"/>
  </mergeCells>
  <phoneticPr fontId="8"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변경요약</vt:lpstr>
      <vt:lpstr>메뉴구조</vt:lpstr>
      <vt:lpstr>기능정의 상세</vt:lpstr>
      <vt:lpstr>공통 규칙</vt:lpstr>
      <vt:lpstr>확인 필요 목록</vt:lpstr>
      <vt:lpstr>디자인 프롬프트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lu lu</cp:lastModifiedBy>
  <cp:revision>0</cp:revision>
  <dcterms:created xsi:type="dcterms:W3CDTF">2026-09-29T09:05:36Z</dcterms:created>
  <dcterms:modified xsi:type="dcterms:W3CDTF">2026-10-01T00:20:06Z</dcterms:modified>
  <dc:language>en-US</dc:language>
</cp:coreProperties>
</file>